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ici\OneDrive\Escritorio\Aplicacion 6 15-05-25\2.SCLOUD 23-01-25\"/>
    </mc:Choice>
  </mc:AlternateContent>
  <xr:revisionPtr revIDLastSave="0" documentId="13_ncr:1_{492937BA-3478-49D2-9CDB-313FED6BF98B}" xr6:coauthVersionLast="47" xr6:coauthVersionMax="47" xr10:uidLastSave="{00000000-0000-0000-0000-000000000000}"/>
  <bookViews>
    <workbookView xWindow="-135" yWindow="-135" windowWidth="29070" windowHeight="15750" tabRatio="500" activeTab="1" xr2:uid="{00000000-000D-0000-FFFF-FFFF00000000}"/>
  </bookViews>
  <sheets>
    <sheet name="ON" sheetId="1" r:id="rId1"/>
    <sheet name="OFF" sheetId="2" r:id="rId2"/>
  </sheets>
  <definedNames>
    <definedName name="_xlnm._FilterDatabase" localSheetId="1" hidden="1">OFF!$A$1:$AMJ$24</definedName>
    <definedName name="_xlnm._FilterDatabase" localSheetId="0" hidden="1">ON!$A$1:$AMJ$24</definedName>
    <definedName name="Client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3" i="1" l="1"/>
  <c r="BW5" i="2"/>
  <c r="BW4" i="2"/>
  <c r="BW3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BE9" i="2"/>
  <c r="BE8" i="2"/>
  <c r="BE7" i="2"/>
  <c r="BE6" i="2"/>
  <c r="BE5" i="2"/>
  <c r="BE4" i="2"/>
  <c r="BE3" i="2"/>
  <c r="AH3" i="1"/>
  <c r="AH4" i="1"/>
  <c r="AI4" i="1"/>
  <c r="AJ4" i="1"/>
  <c r="AH5" i="1"/>
  <c r="AH6" i="1"/>
  <c r="AI6" i="1"/>
  <c r="AJ6" i="1"/>
  <c r="AH7" i="1"/>
  <c r="AH8" i="1"/>
  <c r="AH9" i="1"/>
  <c r="AH10" i="1"/>
  <c r="AI10" i="1"/>
  <c r="AJ10" i="1"/>
  <c r="AH11" i="1"/>
  <c r="AI11" i="1"/>
  <c r="AJ11" i="1"/>
  <c r="AH12" i="1"/>
  <c r="AH13" i="1"/>
  <c r="AI13" i="1"/>
  <c r="AJ13" i="1"/>
  <c r="AH14" i="1"/>
  <c r="AI14" i="1"/>
  <c r="AJ14" i="1"/>
  <c r="AH15" i="1"/>
  <c r="AI15" i="1"/>
  <c r="AJ15" i="1"/>
  <c r="AH16" i="1"/>
  <c r="AI16" i="1"/>
  <c r="AJ16" i="1"/>
  <c r="AH17" i="1"/>
  <c r="AI17" i="1"/>
  <c r="AJ17" i="1"/>
  <c r="AH18" i="1"/>
  <c r="AI18" i="1"/>
  <c r="AJ18" i="1"/>
  <c r="AH19" i="1"/>
  <c r="AH20" i="1"/>
  <c r="AI20" i="1"/>
  <c r="AJ20" i="1"/>
  <c r="AH21" i="1"/>
  <c r="AH22" i="1"/>
  <c r="AI22" i="1"/>
  <c r="AJ22" i="1"/>
  <c r="AH23" i="1"/>
  <c r="AI23" i="1"/>
  <c r="AJ23" i="1"/>
  <c r="AH24" i="1"/>
  <c r="AI24" i="1"/>
  <c r="AJ24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N1" authorId="0" shapeId="0" xr:uid="{00000000-0006-0000-0000-000006000000}">
      <text>
        <r>
          <rPr>
            <sz val="11"/>
            <color rgb="FF000000"/>
            <rFont val="Calibri"/>
            <family val="2"/>
            <charset val="1"/>
          </rPr>
          <t>Tipo de transporte regional (BUS, DAP, FERRY)</t>
        </r>
      </text>
    </comment>
    <comment ref="S2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Puede quedar vacío</t>
        </r>
      </text>
    </comment>
    <comment ref="V2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>“NO” obligado</t>
        </r>
      </text>
    </comment>
    <comment ref="Y2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“NO” obligatorio y asume las dos celdas siguientes</t>
        </r>
      </text>
    </comment>
    <comment ref="AH2" authorId="0" shapeId="0" xr:uid="{00000000-0006-0000-0000-000004000000}">
      <text>
        <r>
          <rPr>
            <sz val="11"/>
            <color rgb="FF000000"/>
            <rFont val="Calibri"/>
            <family val="2"/>
          </rPr>
          <t>“NO” obligatorio y asume las dos celdas siguientes</t>
        </r>
      </text>
    </comment>
    <comment ref="AK2" authorId="0" shapeId="0" xr:uid="{00000000-0006-0000-0000-000005000000}">
      <text>
        <r>
          <rPr>
            <sz val="11"/>
            <color rgb="FF000000"/>
            <rFont val="Calibri"/>
            <family val="2"/>
          </rPr>
          <t>“NO” obligatorio y asume las dos celdas siguientes</t>
        </r>
      </text>
    </comment>
    <comment ref="AN2" authorId="0" shapeId="0" xr:uid="{00000000-0006-0000-0000-000007000000}">
      <text>
        <r>
          <rPr>
            <sz val="11"/>
            <color rgb="FF000000"/>
            <rFont val="Calibri"/>
            <family val="2"/>
          </rPr>
          <t>“NO” obligatorio y asume las dos celdas siguientes</t>
        </r>
      </text>
    </comment>
    <comment ref="AQ2" authorId="0" shapeId="0" xr:uid="{00000000-0006-0000-0000-000008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AS2" authorId="0" shapeId="0" xr:uid="{00000000-0006-0000-0000-000009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AU2" authorId="0" shapeId="0" xr:uid="{00000000-0006-0000-0000-00000A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AX2" authorId="0" shapeId="0" xr:uid="{00000000-0006-0000-0000-00000B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BB2" authorId="0" shapeId="0" xr:uid="{00000000-0006-0000-0000-00000C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BC2" authorId="0" shapeId="0" xr:uid="{00000000-0006-0000-0000-00000D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BG2" authorId="0" shapeId="0" xr:uid="{00000000-0006-0000-0000-00000E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BH2" authorId="0" shapeId="0" xr:uid="{00000000-0006-0000-0000-00000F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BL2" authorId="0" shapeId="0" xr:uid="{00000000-0006-0000-0000-000010000000}">
      <text>
        <r>
          <rPr>
            <sz val="11"/>
            <color rgb="FF000000"/>
            <rFont val="Calibri"/>
            <family val="2"/>
            <charset val="1"/>
          </rPr>
          <t xml:space="preserve">“TBC” obligatorio
</t>
        </r>
      </text>
    </comment>
    <comment ref="BM2" authorId="0" shapeId="0" xr:uid="{00000000-0006-0000-0000-000011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BS2" authorId="0" shapeId="0" xr:uid="{00000000-0006-0000-0000-000012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CE2" authorId="0" shapeId="0" xr:uid="{00000000-0006-0000-0000-000013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CK2" authorId="0" shapeId="0" xr:uid="{00000000-0006-0000-0000-000014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  <comment ref="CL2" authorId="0" shapeId="0" xr:uid="{00000000-0006-0000-0000-000015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  <comment ref="CO2" authorId="0" shapeId="0" xr:uid="{00000000-0006-0000-0000-000016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2" authorId="0" shapeId="0" xr:uid="{00000000-0006-0000-0100-000001000000}">
      <text>
        <r>
          <rPr>
            <sz val="11"/>
            <color rgb="FF000000"/>
            <rFont val="Calibri"/>
            <family val="2"/>
            <charset val="1"/>
          </rPr>
          <t>Puede quedar vacía</t>
        </r>
      </text>
    </comment>
    <comment ref="V2" authorId="0" shapeId="0" xr:uid="{00000000-0006-0000-0100-000002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Y2" authorId="0" shapeId="0" xr:uid="{00000000-0006-0000-0100-000003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AB2" authorId="0" shapeId="0" xr:uid="{00000000-0006-0000-0100-000004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AE2" authorId="0" shapeId="0" xr:uid="{00000000-0006-0000-0100-000005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AG2" authorId="0" shapeId="0" xr:uid="{00000000-0006-0000-0100-000006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AI2" authorId="0" shapeId="0" xr:uid="{00000000-0006-0000-0100-000007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AL2" authorId="0" shapeId="0" xr:uid="{00000000-0006-0000-0100-000008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AP2" authorId="0" shapeId="0" xr:uid="{00000000-0006-0000-0100-000009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AQ2" authorId="0" shapeId="0" xr:uid="{00000000-0006-0000-0100-00000A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AU2" authorId="0" shapeId="0" xr:uid="{00000000-0006-0000-0100-00000B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AZ2" authorId="0" shapeId="0" xr:uid="{00000000-0006-0000-0100-00000C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BA2" authorId="0" shapeId="0" xr:uid="{00000000-0006-0000-0100-00000D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BG2" authorId="0" shapeId="0" xr:uid="{00000000-0006-0000-0100-00000E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BM2" authorId="0" shapeId="0" xr:uid="{00000000-0006-0000-0100-00000F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BS2" authorId="0" shapeId="0" xr:uid="{00000000-0006-0000-0100-000010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BY2" authorId="0" shapeId="0" xr:uid="{00000000-0006-0000-0100-000011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  <comment ref="BZ2" authorId="0" shapeId="0" xr:uid="{00000000-0006-0000-0100-000012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  <comment ref="CL2" authorId="0" shapeId="0" xr:uid="{00000000-0006-0000-0100-000013000000}">
      <text>
        <r>
          <rPr>
            <sz val="11"/>
            <color rgb="FF000000"/>
            <rFont val="Calibri"/>
            <family val="2"/>
            <charset val="1"/>
          </rPr>
          <t>Escritura obligatoria</t>
        </r>
      </text>
    </comment>
    <comment ref="CM2" authorId="0" shapeId="0" xr:uid="{00000000-0006-0000-0100-000014000000}">
      <text>
        <r>
          <rPr>
            <sz val="11"/>
            <color rgb="FF000000"/>
            <rFont val="Calibri"/>
            <family val="2"/>
            <charset val="1"/>
          </rPr>
          <t>Escritura obligatoria</t>
        </r>
      </text>
    </comment>
    <comment ref="CN2" authorId="0" shapeId="0" xr:uid="{00000000-0006-0000-0100-000015000000}">
      <text>
        <r>
          <rPr>
            <sz val="11"/>
            <color rgb="FF000000"/>
            <rFont val="Calibri"/>
            <family val="2"/>
            <charset val="1"/>
          </rPr>
          <t>Escritura obligatorio</t>
        </r>
      </text>
    </comment>
  </commentList>
</comments>
</file>

<file path=xl/sharedStrings.xml><?xml version="1.0" encoding="utf-8"?>
<sst xmlns="http://schemas.openxmlformats.org/spreadsheetml/2006/main" count="2408" uniqueCount="475">
  <si>
    <t>Activo</t>
  </si>
  <si>
    <t>Owner</t>
  </si>
  <si>
    <t>Vessel</t>
  </si>
  <si>
    <t>Date arrive CL</t>
  </si>
  <si>
    <t>ETA Vessel</t>
  </si>
  <si>
    <t>ETD Vessel</t>
  </si>
  <si>
    <t>Puerto a embarcar</t>
  </si>
  <si>
    <t>Condition</t>
  </si>
  <si>
    <t>OKTB</t>
  </si>
  <si>
    <t>Mail PDI</t>
  </si>
  <si>
    <t>First name</t>
  </si>
  <si>
    <t>Last name</t>
  </si>
  <si>
    <t>Gender</t>
  </si>
  <si>
    <t>Nacionalidad</t>
  </si>
  <si>
    <t>Position</t>
  </si>
  <si>
    <t>Pasaporte</t>
  </si>
  <si>
    <t>DOB</t>
  </si>
  <si>
    <t>Aerolinea 1</t>
  </si>
  <si>
    <t>Aerolinea 2</t>
  </si>
  <si>
    <t>Aerolinea 3</t>
  </si>
  <si>
    <t>Aerolinea 4</t>
  </si>
  <si>
    <t>Vuelo Int 1</t>
  </si>
  <si>
    <t>Fecha Vuelo Int 1</t>
  </si>
  <si>
    <t>Hora Vuelo Int 1</t>
  </si>
  <si>
    <t>Vuelo Int 2</t>
  </si>
  <si>
    <t>Fecha Vuelo Int 2</t>
  </si>
  <si>
    <t>Hora Vuelo Int 2</t>
  </si>
  <si>
    <t>Vuelo Int 3</t>
  </si>
  <si>
    <t>Fecha Vuelo Int 3</t>
  </si>
  <si>
    <t>Hora Vuelo Int 3</t>
  </si>
  <si>
    <t>Vuelo Int 4</t>
  </si>
  <si>
    <t>Fecha Vuelo Int 4</t>
  </si>
  <si>
    <t>Hora Vuelo Int 4</t>
  </si>
  <si>
    <t>Nro International Flight</t>
  </si>
  <si>
    <t>Date International Flight</t>
  </si>
  <si>
    <t>Hora International Flight</t>
  </si>
  <si>
    <t>Nro Domestic Flight</t>
  </si>
  <si>
    <t>Date Domestic Flight</t>
  </si>
  <si>
    <t>Hora Domestic Flight</t>
  </si>
  <si>
    <t>Nro Regional Flight</t>
  </si>
  <si>
    <t>Date Regional Flight</t>
  </si>
  <si>
    <t>Hora Regional Flight</t>
  </si>
  <si>
    <t>Proveedor SCL</t>
  </si>
  <si>
    <t>Asistencia 1</t>
  </si>
  <si>
    <t>Proveedor PUQ</t>
  </si>
  <si>
    <t>Asistencia 2</t>
  </si>
  <si>
    <t>Proveedor WPU</t>
  </si>
  <si>
    <t>Asistencia 3</t>
  </si>
  <si>
    <t>Category</t>
  </si>
  <si>
    <t>Hotel 1</t>
  </si>
  <si>
    <t>Check in 1</t>
  </si>
  <si>
    <t>Check out 1</t>
  </si>
  <si>
    <t>Rooms 1</t>
  </si>
  <si>
    <t>Nombre Hotel 1</t>
  </si>
  <si>
    <t>Hotel 2</t>
  </si>
  <si>
    <t>Check in 2</t>
  </si>
  <si>
    <t>Check out 2</t>
  </si>
  <si>
    <t>Rooms 2</t>
  </si>
  <si>
    <t>Nombre Hotel 2</t>
  </si>
  <si>
    <t>Hotel 3</t>
  </si>
  <si>
    <t>Check in 3</t>
  </si>
  <si>
    <t>Check out 3</t>
  </si>
  <si>
    <t>Rooms 3</t>
  </si>
  <si>
    <t>Nombre Hotel 3</t>
  </si>
  <si>
    <t>City_in_1</t>
  </si>
  <si>
    <t>Place_in_1</t>
  </si>
  <si>
    <t>City_end_1</t>
  </si>
  <si>
    <t>Place_end_1</t>
  </si>
  <si>
    <t>Date_pickup_1</t>
  </si>
  <si>
    <t>Hours_pickup_1</t>
  </si>
  <si>
    <t>City_in_2</t>
  </si>
  <si>
    <t>Place_in_2</t>
  </si>
  <si>
    <t>City_end_2</t>
  </si>
  <si>
    <t>Place_end_2</t>
  </si>
  <si>
    <t>Date_pickup_2</t>
  </si>
  <si>
    <t>Hours_pickup_2</t>
  </si>
  <si>
    <t>City_in_3</t>
  </si>
  <si>
    <t>Place_in_3</t>
  </si>
  <si>
    <t>City_end_3</t>
  </si>
  <si>
    <t>Place_end_3</t>
  </si>
  <si>
    <t>Date_pickup_3</t>
  </si>
  <si>
    <t>Hours_pickup_3</t>
  </si>
  <si>
    <t>City_in_4</t>
  </si>
  <si>
    <t>Place_in_4</t>
  </si>
  <si>
    <t>City_end_4</t>
  </si>
  <si>
    <t>Place_end_4</t>
  </si>
  <si>
    <t>Date_pickup_4</t>
  </si>
  <si>
    <t>Hours_pickup_4</t>
  </si>
  <si>
    <t>Prefer. Aliment</t>
  </si>
  <si>
    <t>Servicio Comida 1</t>
  </si>
  <si>
    <t>Fecha Desde 1</t>
  </si>
  <si>
    <t>Fecha Hasta 1</t>
  </si>
  <si>
    <t>Restaurant 1</t>
  </si>
  <si>
    <t>Servicio Comida 2</t>
  </si>
  <si>
    <t>Fecha Desde 2</t>
  </si>
  <si>
    <t>Fecha Hasta 2</t>
  </si>
  <si>
    <t>Restaurant 2</t>
  </si>
  <si>
    <t>Servicio Comida 3</t>
  </si>
  <si>
    <t>Fecha Desde 3</t>
  </si>
  <si>
    <t>Fecha Hasta 3</t>
  </si>
  <si>
    <t>Restaurant 3</t>
  </si>
  <si>
    <t>Maleta perdida</t>
  </si>
  <si>
    <t>Transporte</t>
  </si>
  <si>
    <t>Atencion Medica</t>
  </si>
  <si>
    <t>Fecha</t>
  </si>
  <si>
    <t>Ciudad</t>
  </si>
  <si>
    <t>Comentarios</t>
  </si>
  <si>
    <t>SI | NO</t>
  </si>
  <si>
    <t>Silversea</t>
  </si>
  <si>
    <t xml:space="preserve">Silver Wind </t>
  </si>
  <si>
    <t>01/01/01</t>
  </si>
  <si>
    <t>PUERTO WILLIAMS</t>
  </si>
  <si>
    <t>CREW | PASSENGER</t>
  </si>
  <si>
    <t>OK</t>
  </si>
  <si>
    <t>Nombre</t>
  </si>
  <si>
    <t>Apellido</t>
  </si>
  <si>
    <t>F | M</t>
  </si>
  <si>
    <t>Chile</t>
  </si>
  <si>
    <t>Fitter</t>
  </si>
  <si>
    <t>P3767337B</t>
  </si>
  <si>
    <t>Latam Airlines</t>
  </si>
  <si>
    <t>CODIGO SALIDA LLEGADA | NO</t>
  </si>
  <si>
    <t>00:00 01:01+1</t>
  </si>
  <si>
    <t>Freebags</t>
  </si>
  <si>
    <t>Asistencia SCL</t>
  </si>
  <si>
    <t>Shackletons</t>
  </si>
  <si>
    <t>Asistencia PUQ</t>
  </si>
  <si>
    <t>Explora</t>
  </si>
  <si>
    <t>Asistencia WPU</t>
  </si>
  <si>
    <t>1 (Obligatoria)</t>
  </si>
  <si>
    <t>Hotel PUQ | NO</t>
  </si>
  <si>
    <t>SINGLE | DOBLE</t>
  </si>
  <si>
    <t>Kran Kreen | TBC</t>
  </si>
  <si>
    <t>PUQ | NO</t>
  </si>
  <si>
    <t>ATO | HOTEL | NAVE</t>
  </si>
  <si>
    <t>PUQ</t>
  </si>
  <si>
    <t>VEGETARIANO | VEGANO | CARNIVORO | OTRO</t>
  </si>
  <si>
    <t>DESAYUNO | ALMUERZO | ONCE | CENA</t>
  </si>
  <si>
    <t>SABORES</t>
  </si>
  <si>
    <t>EJEMPLO</t>
  </si>
  <si>
    <t>SI</t>
  </si>
  <si>
    <t>CREW</t>
  </si>
  <si>
    <t>Philippines</t>
  </si>
  <si>
    <t>NO</t>
  </si>
  <si>
    <t>Expedition Field Staff</t>
  </si>
  <si>
    <t>Australia</t>
  </si>
  <si>
    <t>Assistant Expedition Leader</t>
  </si>
  <si>
    <t>Waiter</t>
  </si>
  <si>
    <t>Italy</t>
  </si>
  <si>
    <t>QR779 DOH GRU</t>
  </si>
  <si>
    <t>01:05 10:25</t>
  </si>
  <si>
    <t>LA8036 GRU SCL</t>
  </si>
  <si>
    <t>British</t>
  </si>
  <si>
    <t>Receptionist</t>
  </si>
  <si>
    <t>Silver Cloud</t>
  </si>
  <si>
    <t>Ordinary Seaman</t>
  </si>
  <si>
    <t>LA293 SCL PUQ</t>
  </si>
  <si>
    <t>DAP PUQ WPU</t>
  </si>
  <si>
    <t>08:30 09:15</t>
  </si>
  <si>
    <t>Qantas Airways</t>
  </si>
  <si>
    <t>Service Assistant</t>
  </si>
  <si>
    <t>15:20 20:05</t>
  </si>
  <si>
    <t>LA8030 GRU SCL</t>
  </si>
  <si>
    <t>01:00 05:25</t>
  </si>
  <si>
    <t>QR773 DOH GRU</t>
  </si>
  <si>
    <t>07:55 17:15</t>
  </si>
  <si>
    <t>LA8207 GRU SCL</t>
  </si>
  <si>
    <t>21:05 01:25+1</t>
  </si>
  <si>
    <t>LA311 SCL PUQ</t>
  </si>
  <si>
    <t>India</t>
  </si>
  <si>
    <t xml:space="preserve">Vessel </t>
  </si>
  <si>
    <t>Date First Flight</t>
  </si>
  <si>
    <t>Puerto a desembarcar</t>
  </si>
  <si>
    <t>Carta Desembarco</t>
  </si>
  <si>
    <t xml:space="preserve">Nacionalidad </t>
  </si>
  <si>
    <t>F/M</t>
  </si>
  <si>
    <t>M</t>
  </si>
  <si>
    <t>MINNS</t>
  </si>
  <si>
    <t>CAROLINA ANDREA</t>
  </si>
  <si>
    <t>CARRASCO ROZAS</t>
  </si>
  <si>
    <t>RATKO</t>
  </si>
  <si>
    <t>JEREMIC</t>
  </si>
  <si>
    <t>ALEXANDER JOHN</t>
  </si>
  <si>
    <t>WILLIAMS</t>
  </si>
  <si>
    <t>JINEL ROY CIELO</t>
  </si>
  <si>
    <t>TORRES</t>
  </si>
  <si>
    <t>DANE THOMAS</t>
  </si>
  <si>
    <t>BERGMAN</t>
  </si>
  <si>
    <t>JOSHUA LUCAS</t>
  </si>
  <si>
    <t>COATES</t>
  </si>
  <si>
    <t>EMILY FLORENCE</t>
  </si>
  <si>
    <t>EDWARDS</t>
  </si>
  <si>
    <t>ALEX</t>
  </si>
  <si>
    <t>FERNANDES</t>
  </si>
  <si>
    <t>SENO</t>
  </si>
  <si>
    <t>WIDODO</t>
  </si>
  <si>
    <t>PIETRO</t>
  </si>
  <si>
    <t>ANTONUCCI</t>
  </si>
  <si>
    <t>RASHID</t>
  </si>
  <si>
    <t>OTUNGA</t>
  </si>
  <si>
    <t>JOEY</t>
  </si>
  <si>
    <t>BELORIA</t>
  </si>
  <si>
    <t>SHIELA</t>
  </si>
  <si>
    <t>DELA CRUZ</t>
  </si>
  <si>
    <t>PAUL MARTIN</t>
  </si>
  <si>
    <t>MEDINA</t>
  </si>
  <si>
    <t>PRECHELLE MAE</t>
  </si>
  <si>
    <t>MENDOZA</t>
  </si>
  <si>
    <t>LEE</t>
  </si>
  <si>
    <t>TAUTUAN</t>
  </si>
  <si>
    <t>ILYES</t>
  </si>
  <si>
    <t>AMICH</t>
  </si>
  <si>
    <t>OLHA</t>
  </si>
  <si>
    <t>VYKHOPEN</t>
  </si>
  <si>
    <t>WILLEM</t>
  </si>
  <si>
    <t>VERSLUIS</t>
  </si>
  <si>
    <t>SAMSON</t>
  </si>
  <si>
    <t>KAPEZA</t>
  </si>
  <si>
    <t>MOISE CEDRIC</t>
  </si>
  <si>
    <t>NGANDEU NGANIDO</t>
  </si>
  <si>
    <t>NANDANG</t>
  </si>
  <si>
    <t>PRIATNA</t>
  </si>
  <si>
    <t>VILLALTA</t>
  </si>
  <si>
    <t>KISELEV</t>
  </si>
  <si>
    <t>Indonesia</t>
  </si>
  <si>
    <t>Brazil</t>
  </si>
  <si>
    <t>Argentina</t>
  </si>
  <si>
    <t>Canada</t>
  </si>
  <si>
    <t>Bosnian</t>
  </si>
  <si>
    <t>Kenya</t>
  </si>
  <si>
    <t>Tunisia</t>
  </si>
  <si>
    <t>Ukraine</t>
  </si>
  <si>
    <t>Zimbabwe</t>
  </si>
  <si>
    <t>Cameroon</t>
  </si>
  <si>
    <t>Russian Federation</t>
  </si>
  <si>
    <t>Portugal</t>
  </si>
  <si>
    <t>Laundry Man</t>
  </si>
  <si>
    <t>2nd Officer</t>
  </si>
  <si>
    <t>Suite Attendant</t>
  </si>
  <si>
    <t>517941847</t>
  </si>
  <si>
    <t>2nd Engineer</t>
  </si>
  <si>
    <t>Executive Chef</t>
  </si>
  <si>
    <t>F67420208</t>
  </si>
  <si>
    <t>Kayak Guide</t>
  </si>
  <si>
    <t>HR Manager</t>
  </si>
  <si>
    <t>Oiler</t>
  </si>
  <si>
    <t>In-Suite Captain</t>
  </si>
  <si>
    <t>B2420426</t>
  </si>
  <si>
    <t>Photo Studio Manager</t>
  </si>
  <si>
    <t>562105656</t>
  </si>
  <si>
    <t>Provision Utility</t>
  </si>
  <si>
    <t>P9385136B</t>
  </si>
  <si>
    <t>PA3636662</t>
  </si>
  <si>
    <t>PB4589678</t>
  </si>
  <si>
    <t>P819339PC</t>
  </si>
  <si>
    <t>V9824353</t>
  </si>
  <si>
    <t>C8635189</t>
  </si>
  <si>
    <t>YA7339193</t>
  </si>
  <si>
    <t xml:space="preserve">AK0605002 </t>
  </si>
  <si>
    <t>P1070310B</t>
  </si>
  <si>
    <t>P6993990A</t>
  </si>
  <si>
    <t>P3135768B</t>
  </si>
  <si>
    <t>P2211637C</t>
  </si>
  <si>
    <t>P3155457B</t>
  </si>
  <si>
    <t>2nd Cook</t>
  </si>
  <si>
    <t>I485953</t>
  </si>
  <si>
    <t>FN205397</t>
  </si>
  <si>
    <t>124211117</t>
  </si>
  <si>
    <t>Sommelier</t>
  </si>
  <si>
    <t>AE850617</t>
  </si>
  <si>
    <t>AA588505</t>
  </si>
  <si>
    <t>Laundry Master</t>
  </si>
  <si>
    <t>E8585937</t>
  </si>
  <si>
    <t>Expedition Program Coordinator</t>
  </si>
  <si>
    <t>AAG357942</t>
  </si>
  <si>
    <t>55 1065112</t>
  </si>
  <si>
    <t>Rotal Dutch Airlines</t>
  </si>
  <si>
    <t>Delta Airlines</t>
  </si>
  <si>
    <t>Iberia</t>
  </si>
  <si>
    <t>Qatar Airways</t>
  </si>
  <si>
    <t>Air France</t>
  </si>
  <si>
    <t>South African Airlink</t>
  </si>
  <si>
    <t>Air Serbia</t>
  </si>
  <si>
    <t>Air Canada</t>
  </si>
  <si>
    <t xml:space="preserve">Emirates Airlines  </t>
  </si>
  <si>
    <t xml:space="preserve">NO  </t>
  </si>
  <si>
    <t>QR929 MNL DOH</t>
  </si>
  <si>
    <t>KL810 CGK AMS</t>
  </si>
  <si>
    <t>19:25 05:50+1</t>
  </si>
  <si>
    <t>QR933 MNL DOH</t>
  </si>
  <si>
    <t>18:30 23:30</t>
  </si>
  <si>
    <t>JU611 BNX BEG</t>
  </si>
  <si>
    <t>11:55 12:50</t>
  </si>
  <si>
    <t>IB722 LHR MAD</t>
  </si>
  <si>
    <t>18:45 22:10</t>
  </si>
  <si>
    <t>23:50 04:50+1</t>
  </si>
  <si>
    <t>DL885 SLC ATL</t>
  </si>
  <si>
    <t>11:30 17:11</t>
  </si>
  <si>
    <t>QF670 ADL MEL</t>
  </si>
  <si>
    <t>06:00 07:50</t>
  </si>
  <si>
    <t>AC471 YOW YYZ</t>
  </si>
  <si>
    <t>20:15 21:35</t>
  </si>
  <si>
    <t xml:space="preserve">QR557 BOM DOH </t>
  </si>
  <si>
    <t>04:10 05:25</t>
  </si>
  <si>
    <t>AF7309 NCE CDG</t>
  </si>
  <si>
    <t>18:15 19:50</t>
  </si>
  <si>
    <t>EK722 NBO DXB</t>
  </si>
  <si>
    <t>22:45 04:45+1</t>
  </si>
  <si>
    <t>AF1185 TUN CDG</t>
  </si>
  <si>
    <t>16:35 19:15</t>
  </si>
  <si>
    <t>DL8610 NCE CDG</t>
  </si>
  <si>
    <t>06:00 07:35</t>
  </si>
  <si>
    <t>AF7112 ZYR CDG</t>
  </si>
  <si>
    <t>18:17 19:54</t>
  </si>
  <si>
    <t>4Z101 HRE JNB</t>
  </si>
  <si>
    <t>08:50 10:43</t>
  </si>
  <si>
    <t>AF775 NSI CDG</t>
  </si>
  <si>
    <t>23:55 07:20+1</t>
  </si>
  <si>
    <t>QR6380 CGK DOH</t>
  </si>
  <si>
    <t>18:20 23:00</t>
  </si>
  <si>
    <t>DL147 ATL SCL</t>
  </si>
  <si>
    <t>20:15 07:20+1</t>
  </si>
  <si>
    <t>AF406 CDG SCL</t>
  </si>
  <si>
    <t>23:20 09:50+1</t>
  </si>
  <si>
    <t>LA8059 JNB GRU</t>
  </si>
  <si>
    <t>13:25 17:40</t>
  </si>
  <si>
    <t>KL2258 CDG SCL</t>
  </si>
  <si>
    <t>JU572 BEG MAD</t>
  </si>
  <si>
    <t>14:10 17:30</t>
  </si>
  <si>
    <t>LA705 MAD SCL</t>
  </si>
  <si>
    <t>23:35 09:20+1</t>
  </si>
  <si>
    <t>IB6586 MAD SCL</t>
  </si>
  <si>
    <t>QF5027 MEL SCL</t>
  </si>
  <si>
    <t>12:00 11:00</t>
  </si>
  <si>
    <t>AC92 YYZ SCL</t>
  </si>
  <si>
    <t>23:30 12:10+1</t>
  </si>
  <si>
    <t>LA755 GRU SCL</t>
  </si>
  <si>
    <t>20:20 00:40+1</t>
  </si>
  <si>
    <t>KL3580 AMS CDG</t>
  </si>
  <si>
    <t>15:45 17:05</t>
  </si>
  <si>
    <t>EK201 DXB JFK</t>
  </si>
  <si>
    <t>08:30 13:55</t>
  </si>
  <si>
    <t>LA1103 JFK SCL</t>
  </si>
  <si>
    <t>03:10 15:40</t>
  </si>
  <si>
    <t>DL8504 CDG ATL</t>
  </si>
  <si>
    <t>10:45 14:30</t>
  </si>
  <si>
    <t>AF421 CDG JFK</t>
  </si>
  <si>
    <t>10:30 18:20</t>
  </si>
  <si>
    <t>LA407 GRU SCL</t>
  </si>
  <si>
    <t>15:05 21:20</t>
  </si>
  <si>
    <t>LA83 SCL PUQ</t>
  </si>
  <si>
    <t>LA315 SCL PUQ</t>
  </si>
  <si>
    <t>LA85 SCL PUQ</t>
  </si>
  <si>
    <t>08:52 12:17</t>
  </si>
  <si>
    <t>LA91 SCL PUQ</t>
  </si>
  <si>
    <t>04:31 07:55</t>
  </si>
  <si>
    <t>LA97 SCL PUQ</t>
  </si>
  <si>
    <t>16:03 19:27</t>
  </si>
  <si>
    <t>12:53 17:42</t>
  </si>
  <si>
    <t>12:53 17:41</t>
  </si>
  <si>
    <t>16:43 20:07</t>
  </si>
  <si>
    <t>05:03 09:48</t>
  </si>
  <si>
    <t>19:53 23:17</t>
  </si>
  <si>
    <t>LA095 SCL PUQ</t>
  </si>
  <si>
    <t>00:59 04:23</t>
  </si>
  <si>
    <t>DAP WPU PUQ</t>
  </si>
  <si>
    <t>DOBLE</t>
  </si>
  <si>
    <t>SINGLE</t>
  </si>
  <si>
    <t>F</t>
  </si>
  <si>
    <t>Hotel PUQ</t>
  </si>
  <si>
    <t>Hotel WPU</t>
  </si>
  <si>
    <t xml:space="preserve">ATO  </t>
  </si>
  <si>
    <t>HOTEL</t>
  </si>
  <si>
    <t>NAVE</t>
  </si>
  <si>
    <t>WPU</t>
  </si>
  <si>
    <t>ATO</t>
  </si>
  <si>
    <t>Puerto Williams</t>
  </si>
  <si>
    <t>MARIANA</t>
  </si>
  <si>
    <t>JOSEPH</t>
  </si>
  <si>
    <t>ROLDAN</t>
  </si>
  <si>
    <t>LAYSA</t>
  </si>
  <si>
    <t>NUNES ROCHA</t>
  </si>
  <si>
    <t>TABBOGA</t>
  </si>
  <si>
    <t>DMITRII</t>
  </si>
  <si>
    <t>HILMAN JAYA</t>
  </si>
  <si>
    <t>PERMANA</t>
  </si>
  <si>
    <t>SEBASTIAN ARIEL</t>
  </si>
  <si>
    <t>THEO ALLAN</t>
  </si>
  <si>
    <t>BHAWANA</t>
  </si>
  <si>
    <t>GURUNG</t>
  </si>
  <si>
    <t>AGUS</t>
  </si>
  <si>
    <t>SAIFUL</t>
  </si>
  <si>
    <t>MOHAMAD</t>
  </si>
  <si>
    <t>SULAIMAN</t>
  </si>
  <si>
    <t>LUCA</t>
  </si>
  <si>
    <t>CARDINALI</t>
  </si>
  <si>
    <t>HILDAH</t>
  </si>
  <si>
    <t>AURA</t>
  </si>
  <si>
    <t>HORACE JOASH</t>
  </si>
  <si>
    <t>DIEMO</t>
  </si>
  <si>
    <t>MARCOS</t>
  </si>
  <si>
    <t>ALCAIRE</t>
  </si>
  <si>
    <t>ARTHUR</t>
  </si>
  <si>
    <t>BACULI</t>
  </si>
  <si>
    <t>WELICO RICO</t>
  </si>
  <si>
    <t>CAPARAS</t>
  </si>
  <si>
    <t>RICKY JOHN IMPERIAL</t>
  </si>
  <si>
    <t>EJANDA</t>
  </si>
  <si>
    <t>WINNIE JOHN</t>
  </si>
  <si>
    <t>GARCIA</t>
  </si>
  <si>
    <t>PHILLIP REYNA</t>
  </si>
  <si>
    <t>NATHANIEL</t>
  </si>
  <si>
    <t>SOGUILON</t>
  </si>
  <si>
    <t>MARK JOSEPH</t>
  </si>
  <si>
    <t>TIMBANCAYA</t>
  </si>
  <si>
    <t>PITA DUARTE PAIS</t>
  </si>
  <si>
    <t>JESSICA BAILEY</t>
  </si>
  <si>
    <t>FZ074720</t>
  </si>
  <si>
    <t>P0421838B</t>
  </si>
  <si>
    <t>C9962742</t>
  </si>
  <si>
    <t>Z5667645</t>
  </si>
  <si>
    <t>T8632220</t>
  </si>
  <si>
    <t>E0790466</t>
  </si>
  <si>
    <t>C8533532</t>
  </si>
  <si>
    <t>YB5984061</t>
  </si>
  <si>
    <t>AK0159491</t>
  </si>
  <si>
    <t>AK0933479</t>
  </si>
  <si>
    <t>P6676493B</t>
  </si>
  <si>
    <t>P9041211A</t>
  </si>
  <si>
    <t>P4070881B</t>
  </si>
  <si>
    <t>P5833275B</t>
  </si>
  <si>
    <t>P1092017C</t>
  </si>
  <si>
    <t>P5888328B</t>
  </si>
  <si>
    <t>P8300547A</t>
  </si>
  <si>
    <t>P9224844B</t>
  </si>
  <si>
    <t>CB856484</t>
  </si>
  <si>
    <t>AF401 SCL CDG</t>
  </si>
  <si>
    <t>LA762 SCL GRU</t>
  </si>
  <si>
    <t>LA752 SCL GRU</t>
  </si>
  <si>
    <t>12:25 16:30</t>
  </si>
  <si>
    <t>TK216 SCL IST</t>
  </si>
  <si>
    <t>11:40 11:20+1</t>
  </si>
  <si>
    <t>LA8037 SCL GRU</t>
  </si>
  <si>
    <t>LA406 SCL GRU</t>
  </si>
  <si>
    <t>LA8206 SCL GRU</t>
  </si>
  <si>
    <t>12:10 06:00+1</t>
  </si>
  <si>
    <t>LA714 SCL GRU</t>
  </si>
  <si>
    <t>17:00 20:55</t>
  </si>
  <si>
    <t>14:45 18:45</t>
  </si>
  <si>
    <t>09:10 13:20</t>
  </si>
  <si>
    <t>08:25 14:05</t>
  </si>
  <si>
    <t>LA772 SCL GIG</t>
  </si>
  <si>
    <t>15:35 19:50</t>
  </si>
  <si>
    <t>19:40 23:40</t>
  </si>
  <si>
    <t>AR1153 SCL AEP</t>
  </si>
  <si>
    <t>08:55 11:00</t>
  </si>
  <si>
    <t>LA94 PUQ SCL</t>
  </si>
  <si>
    <t>LA84 PUQ SCL</t>
  </si>
  <si>
    <t>23:59 03:26+1</t>
  </si>
  <si>
    <t>LA298 PUQ SCL</t>
  </si>
  <si>
    <t>02:55 06:22</t>
  </si>
  <si>
    <t>LA296 PUQ SCL</t>
  </si>
  <si>
    <t>10:30 13:59</t>
  </si>
  <si>
    <t>04:37 08:04</t>
  </si>
  <si>
    <t>Hotel SCL</t>
  </si>
  <si>
    <t>EXPLORA</t>
  </si>
  <si>
    <t xml:space="preserve">PUQ  </t>
  </si>
  <si>
    <t xml:space="preserve">PUQ </t>
  </si>
  <si>
    <t>ON Patagonia B&amp;B</t>
  </si>
  <si>
    <t>ON HAIN</t>
  </si>
  <si>
    <t>ON Almasur</t>
  </si>
  <si>
    <t>OFF ARTNOVEAU</t>
  </si>
  <si>
    <t>OFF Holiday Inn</t>
  </si>
  <si>
    <t>ON AKAINIJ</t>
  </si>
  <si>
    <t>10:00 10:40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</si>
</sst>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;@"/>
    <numFmt numFmtId="165" formatCode="hh:mm:ss"/>
    <numFmt numFmtId="166" formatCode="dd\/mm\/yy"/>
    <numFmt numFmtId="167" formatCode="hh:mm"/>
    <numFmt numFmtId="168" formatCode="hh:mm:ss;@"/>
    <numFmt numFmtId="169" formatCode="h:mm:ss;@"/>
  </numFmts>
  <fonts count="11" x14ac:knownFonts="1"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8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name val="Aptos Narrow"/>
      <family val="2"/>
      <charset val="1"/>
    </font>
    <font>
      <sz val="8"/>
      <color rgb="FF000000"/>
      <name val="Aptos Narrow"/>
      <family val="2"/>
      <charset val="1"/>
    </font>
    <font>
      <sz val="8"/>
      <color rgb="FF0070C0"/>
      <name val="Aptos Narrow"/>
      <family val="2"/>
      <charset val="1"/>
    </font>
    <font>
      <sz val="8"/>
      <color rgb="FF0070C0"/>
      <name val="Calibri"/>
      <family val="2"/>
      <charset val="1"/>
    </font>
    <font>
      <sz val="11"/>
      <color rgb="FF000000"/>
      <name val="Calibri"/>
      <family val="2"/>
    </font>
    <font>
      <sz val="8"/>
      <color rgb="FF000000"/>
      <name val="Aptos Narrow"/>
      <family val="2"/>
    </font>
    <font>
      <sz val="1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C9211E"/>
      </patternFill>
    </fill>
    <fill>
      <patternFill patternType="solid">
        <fgColor rgb="FF2C7FCE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C3BE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wrapText="1"/>
    </xf>
    <xf numFmtId="3" fontId="2" fillId="4" borderId="1" xfId="0" applyNumberFormat="1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166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3" fontId="2" fillId="6" borderId="1" xfId="0" applyNumberFormat="1" applyFont="1" applyFill="1" applyBorder="1" applyAlignment="1">
      <alignment horizontal="center"/>
    </xf>
    <xf numFmtId="167" fontId="2" fillId="4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/>
    <xf numFmtId="166" fontId="6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20" fontId="1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1" fontId="1" fillId="0" borderId="0" xfId="0" applyNumberFormat="1" applyFont="1"/>
    <xf numFmtId="4" fontId="1" fillId="0" borderId="0" xfId="0" applyNumberFormat="1" applyFont="1" applyAlignment="1">
      <alignment horizontal="center"/>
    </xf>
    <xf numFmtId="164" fontId="1" fillId="0" borderId="0" xfId="0" applyNumberFormat="1" applyFont="1"/>
    <xf numFmtId="166" fontId="2" fillId="2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4" fontId="2" fillId="3" borderId="1" xfId="0" applyNumberFormat="1" applyFont="1" applyFill="1" applyBorder="1" applyAlignment="1">
      <alignment horizontal="center"/>
    </xf>
    <xf numFmtId="20" fontId="2" fillId="4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0" fontId="4" fillId="8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166" fontId="4" fillId="9" borderId="0" xfId="0" applyNumberFormat="1" applyFont="1" applyFill="1" applyAlignment="1">
      <alignment horizontal="center"/>
    </xf>
    <xf numFmtId="167" fontId="4" fillId="9" borderId="0" xfId="0" applyNumberFormat="1" applyFont="1" applyFill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0" fontId="4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20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0" fontId="10" fillId="0" borderId="0" xfId="0" applyFont="1"/>
    <xf numFmtId="164" fontId="3" fillId="0" borderId="0" xfId="0" applyNumberFormat="1" applyFont="1"/>
    <xf numFmtId="4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ont>
        <b/>
        <i val="0"/>
        <sz val="11"/>
        <color rgb="FF000000"/>
        <name val="Calibri"/>
        <charset val="1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5429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4C3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48198"/>
  <sheetViews>
    <sheetView zoomScale="90" zoomScaleNormal="90" workbookViewId="0">
      <pane ySplit="1" topLeftCell="A2" activePane="bottomLeft" state="frozen"/>
      <selection activeCell="BI1" sqref="BI1"/>
      <selection pane="bottomLeft" activeCell="M39" sqref="M39"/>
    </sheetView>
  </sheetViews>
  <sheetFormatPr baseColWidth="10" defaultColWidth="8.44140625" defaultRowHeight="14.4" x14ac:dyDescent="0.3"/>
  <cols>
    <col min="1" max="1" width="6.5546875" style="1" customWidth="1"/>
    <col min="2" max="2" width="10.109375" style="1" customWidth="1"/>
    <col min="3" max="3" width="10.33203125" style="2" customWidth="1"/>
    <col min="4" max="4" width="9.21875" style="3" customWidth="1"/>
    <col min="5" max="5" width="9.88671875" style="3" customWidth="1"/>
    <col min="6" max="6" width="9.5546875" style="3" customWidth="1"/>
    <col min="7" max="7" width="15.21875" style="1" customWidth="1"/>
    <col min="8" max="8" width="13.109375" style="1" customWidth="1"/>
    <col min="9" max="9" width="7.6640625" style="1" customWidth="1"/>
    <col min="10" max="10" width="7" style="1" customWidth="1"/>
    <col min="11" max="11" width="17.88671875" style="2" customWidth="1"/>
    <col min="12" max="12" width="14.109375" style="2" customWidth="1"/>
    <col min="13" max="13" width="6.88671875" style="1" customWidth="1"/>
    <col min="14" max="14" width="9.88671875" style="2" customWidth="1"/>
    <col min="15" max="15" width="19.6640625" style="2" customWidth="1"/>
    <col min="16" max="16" width="11.88671875" style="4" customWidth="1"/>
    <col min="17" max="17" width="9" style="5" customWidth="1"/>
    <col min="18" max="18" width="13" style="2" customWidth="1"/>
    <col min="19" max="19" width="13.44140625" style="2" customWidth="1"/>
    <col min="20" max="20" width="11.5546875" style="2" customWidth="1"/>
    <col min="21" max="21" width="12.5546875" style="1" customWidth="1"/>
    <col min="22" max="22" width="23.33203125" style="2" customWidth="1"/>
    <col min="23" max="23" width="14.33203125" style="5" customWidth="1"/>
    <col min="24" max="24" width="11.88671875" style="1" customWidth="1"/>
    <col min="25" max="25" width="23.6640625" style="1" customWidth="1"/>
    <col min="26" max="26" width="13" style="5" customWidth="1"/>
    <col min="27" max="27" width="13.33203125" style="1" customWidth="1"/>
    <col min="28" max="28" width="22.109375" style="1" customWidth="1"/>
    <col min="29" max="29" width="14.33203125" style="5" customWidth="1"/>
    <col min="30" max="30" width="13.33203125" style="1" customWidth="1"/>
    <col min="31" max="31" width="22.44140625" style="1" customWidth="1"/>
    <col min="32" max="32" width="14.33203125" style="5" customWidth="1"/>
    <col min="33" max="33" width="13.33203125" style="1" customWidth="1"/>
    <col min="34" max="34" width="23" style="2" customWidth="1"/>
    <col min="35" max="35" width="21.88671875" style="5" customWidth="1"/>
    <col min="36" max="36" width="18" style="6" customWidth="1"/>
    <col min="37" max="37" width="26.33203125" style="1" customWidth="1"/>
    <col min="38" max="38" width="17.109375" style="5" customWidth="1"/>
    <col min="39" max="39" width="17.33203125" style="7" customWidth="1"/>
    <col min="40" max="40" width="23.5546875" style="1" customWidth="1"/>
    <col min="41" max="41" width="14.6640625" style="5" customWidth="1"/>
    <col min="42" max="42" width="21.33203125" style="78" customWidth="1"/>
    <col min="43" max="43" width="11.44140625" style="8" customWidth="1"/>
    <col min="44" max="44" width="13.44140625" style="1" customWidth="1"/>
    <col min="45" max="46" width="11.6640625" style="1" customWidth="1"/>
    <col min="47" max="48" width="12" style="1" customWidth="1"/>
    <col min="49" max="49" width="15.5546875" style="4" customWidth="1"/>
    <col min="50" max="50" width="13.109375" style="1" customWidth="1"/>
    <col min="51" max="51" width="8.109375" style="5" customWidth="1"/>
    <col min="52" max="52" width="9" style="5" customWidth="1"/>
    <col min="53" max="53" width="12.44140625" style="1" customWidth="1"/>
    <col min="54" max="54" width="15" style="1" customWidth="1"/>
    <col min="55" max="55" width="14.33203125" style="1" customWidth="1"/>
    <col min="56" max="56" width="8.109375" style="3" customWidth="1"/>
    <col min="57" max="57" width="9.88671875" style="3" customWidth="1"/>
    <col min="58" max="58" width="12.44140625" style="1" customWidth="1"/>
    <col min="59" max="59" width="13.6640625" style="1" customWidth="1"/>
    <col min="60" max="60" width="12.88671875" style="1" customWidth="1"/>
    <col min="61" max="61" width="8.109375" style="3" customWidth="1"/>
    <col min="62" max="62" width="9.88671875" style="3" customWidth="1"/>
    <col min="63" max="63" width="12.33203125" style="1" customWidth="1"/>
    <col min="64" max="64" width="14.33203125" style="1" customWidth="1"/>
    <col min="65" max="65" width="8.5546875" style="1" customWidth="1"/>
    <col min="66" max="66" width="15.6640625" style="1" customWidth="1"/>
    <col min="67" max="67" width="8.33203125" style="1" customWidth="1"/>
    <col min="68" max="68" width="15.6640625" style="1" customWidth="1"/>
    <col min="69" max="69" width="10.44140625" style="5" customWidth="1"/>
    <col min="70" max="70" width="11.44140625" style="5" customWidth="1"/>
    <col min="71" max="71" width="10.88671875" style="1" customWidth="1"/>
    <col min="72" max="72" width="15.88671875" style="1" customWidth="1"/>
    <col min="73" max="73" width="8.5546875" style="1" customWidth="1"/>
    <col min="74" max="74" width="16.6640625" style="9" customWidth="1"/>
    <col min="75" max="75" width="10.44140625" style="1" customWidth="1"/>
    <col min="76" max="76" width="14.44140625" style="9" customWidth="1"/>
    <col min="77" max="77" width="10.5546875" style="1" customWidth="1"/>
    <col min="78" max="78" width="15.6640625" style="9" customWidth="1"/>
    <col min="79" max="79" width="11" style="1" customWidth="1"/>
    <col min="80" max="80" width="16.44140625" style="1" customWidth="1"/>
    <col min="81" max="81" width="11" style="9" customWidth="1"/>
    <col min="82" max="82" width="14.44140625" style="9" customWidth="1"/>
    <col min="83" max="83" width="9.109375" style="9" customWidth="1"/>
    <col min="84" max="84" width="15.33203125" style="9" customWidth="1"/>
    <col min="85" max="85" width="10.88671875" style="9" customWidth="1"/>
    <col min="86" max="86" width="16.33203125" style="9" customWidth="1"/>
    <col min="87" max="87" width="12.5546875" style="9" customWidth="1"/>
    <col min="88" max="88" width="13.44140625" style="9" customWidth="1"/>
    <col min="89" max="89" width="32" style="1" customWidth="1"/>
    <col min="90" max="90" width="28.44140625" style="1" customWidth="1"/>
    <col min="91" max="91" width="10.44140625" style="5" customWidth="1"/>
    <col min="92" max="92" width="14.44140625" style="5" customWidth="1"/>
    <col min="93" max="93" width="11.88671875" style="1" customWidth="1"/>
    <col min="94" max="94" width="27.88671875" style="1" customWidth="1"/>
    <col min="95" max="95" width="10.44140625" style="1" customWidth="1"/>
    <col min="96" max="96" width="12.44140625" style="1" customWidth="1"/>
    <col min="97" max="97" width="9.88671875" style="1" customWidth="1"/>
    <col min="98" max="98" width="28.44140625" style="1" customWidth="1"/>
    <col min="99" max="99" width="14.5546875" style="9" customWidth="1"/>
    <col min="100" max="100" width="12.88671875" style="1" customWidth="1"/>
    <col min="101" max="101" width="12.88671875" style="10" customWidth="1"/>
    <col min="102" max="102" width="10.88671875" style="10" customWidth="1"/>
    <col min="103" max="103" width="9.44140625" style="10" customWidth="1"/>
    <col min="104" max="104" width="12" style="10" customWidth="1"/>
    <col min="105" max="106" width="8.44140625" style="10"/>
    <col min="107" max="107" width="19.109375" style="10" customWidth="1"/>
    <col min="108" max="1024" width="8.44140625" style="10"/>
  </cols>
  <sheetData>
    <row r="1" spans="1:107" x14ac:dyDescent="0.3">
      <c r="A1" s="11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3" t="s">
        <v>5</v>
      </c>
      <c r="G1" s="11" t="s">
        <v>6</v>
      </c>
      <c r="H1" s="11" t="s">
        <v>7</v>
      </c>
      <c r="I1" s="15" t="s">
        <v>8</v>
      </c>
      <c r="J1" s="15" t="s">
        <v>9</v>
      </c>
      <c r="K1" s="16" t="s">
        <v>10</v>
      </c>
      <c r="L1" s="16" t="s">
        <v>11</v>
      </c>
      <c r="M1" s="17" t="s">
        <v>12</v>
      </c>
      <c r="N1" s="16" t="s">
        <v>13</v>
      </c>
      <c r="O1" s="16" t="s">
        <v>14</v>
      </c>
      <c r="P1" s="18" t="s">
        <v>15</v>
      </c>
      <c r="Q1" s="19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1" t="s">
        <v>22</v>
      </c>
      <c r="X1" s="22" t="s">
        <v>23</v>
      </c>
      <c r="Y1" s="22" t="s">
        <v>24</v>
      </c>
      <c r="Z1" s="23" t="s">
        <v>25</v>
      </c>
      <c r="AA1" s="22" t="s">
        <v>26</v>
      </c>
      <c r="AB1" s="22" t="s">
        <v>27</v>
      </c>
      <c r="AC1" s="23" t="s">
        <v>28</v>
      </c>
      <c r="AD1" s="22" t="s">
        <v>29</v>
      </c>
      <c r="AE1" s="22" t="s">
        <v>30</v>
      </c>
      <c r="AF1" s="23" t="s">
        <v>31</v>
      </c>
      <c r="AG1" s="22" t="s">
        <v>32</v>
      </c>
      <c r="AH1" s="15" t="s">
        <v>33</v>
      </c>
      <c r="AI1" s="24" t="s">
        <v>34</v>
      </c>
      <c r="AJ1" s="25" t="s">
        <v>35</v>
      </c>
      <c r="AK1" s="26" t="s">
        <v>36</v>
      </c>
      <c r="AL1" s="27" t="s">
        <v>37</v>
      </c>
      <c r="AM1" s="28" t="s">
        <v>38</v>
      </c>
      <c r="AN1" s="29" t="s">
        <v>39</v>
      </c>
      <c r="AO1" s="30" t="s">
        <v>40</v>
      </c>
      <c r="AP1" s="77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2" t="s">
        <v>48</v>
      </c>
      <c r="AX1" s="11" t="s">
        <v>49</v>
      </c>
      <c r="AY1" s="30" t="s">
        <v>50</v>
      </c>
      <c r="AZ1" s="30" t="s">
        <v>51</v>
      </c>
      <c r="BA1" s="11" t="s">
        <v>52</v>
      </c>
      <c r="BB1" s="11" t="s">
        <v>53</v>
      </c>
      <c r="BC1" s="11" t="s">
        <v>54</v>
      </c>
      <c r="BD1" s="13" t="s">
        <v>55</v>
      </c>
      <c r="BE1" s="13" t="s">
        <v>56</v>
      </c>
      <c r="BF1" s="11" t="s">
        <v>57</v>
      </c>
      <c r="BG1" s="11" t="s">
        <v>58</v>
      </c>
      <c r="BH1" s="11" t="s">
        <v>59</v>
      </c>
      <c r="BI1" s="13" t="s">
        <v>60</v>
      </c>
      <c r="BJ1" s="13" t="s">
        <v>61</v>
      </c>
      <c r="BK1" s="11" t="s">
        <v>62</v>
      </c>
      <c r="BL1" s="1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3" t="s">
        <v>68</v>
      </c>
      <c r="BR1" s="33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3" t="s">
        <v>74</v>
      </c>
      <c r="BX1" s="33" t="s">
        <v>75</v>
      </c>
      <c r="BY1" s="31" t="s">
        <v>76</v>
      </c>
      <c r="BZ1" s="31" t="s">
        <v>77</v>
      </c>
      <c r="CA1" s="31" t="s">
        <v>78</v>
      </c>
      <c r="CB1" s="31" t="s">
        <v>79</v>
      </c>
      <c r="CC1" s="33" t="s">
        <v>80</v>
      </c>
      <c r="CD1" s="33" t="s">
        <v>81</v>
      </c>
      <c r="CE1" s="31" t="s">
        <v>82</v>
      </c>
      <c r="CF1" s="31" t="s">
        <v>83</v>
      </c>
      <c r="CG1" s="31" t="s">
        <v>84</v>
      </c>
      <c r="CH1" s="31" t="s">
        <v>85</v>
      </c>
      <c r="CI1" s="33" t="s">
        <v>86</v>
      </c>
      <c r="CJ1" s="33" t="s">
        <v>87</v>
      </c>
      <c r="CK1" s="11" t="s">
        <v>88</v>
      </c>
      <c r="CL1" s="11" t="s">
        <v>89</v>
      </c>
      <c r="CM1" s="30" t="s">
        <v>90</v>
      </c>
      <c r="CN1" s="30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4" t="s">
        <v>101</v>
      </c>
      <c r="CY1" s="34" t="s">
        <v>102</v>
      </c>
      <c r="CZ1" s="35" t="s">
        <v>103</v>
      </c>
      <c r="DA1" s="36" t="s">
        <v>104</v>
      </c>
      <c r="DB1" s="35" t="s">
        <v>105</v>
      </c>
      <c r="DC1" s="35" t="s">
        <v>106</v>
      </c>
    </row>
    <row r="2" spans="1:107" x14ac:dyDescent="0.3">
      <c r="A2" s="11" t="s">
        <v>107</v>
      </c>
      <c r="B2" s="11" t="s">
        <v>108</v>
      </c>
      <c r="C2" s="12" t="s">
        <v>109</v>
      </c>
      <c r="D2" s="13" t="s">
        <v>110</v>
      </c>
      <c r="E2" s="14" t="s">
        <v>110</v>
      </c>
      <c r="F2" s="13" t="s">
        <v>110</v>
      </c>
      <c r="G2" s="11" t="s">
        <v>111</v>
      </c>
      <c r="H2" s="11" t="s">
        <v>112</v>
      </c>
      <c r="I2" s="15" t="s">
        <v>113</v>
      </c>
      <c r="J2" s="15" t="s">
        <v>113</v>
      </c>
      <c r="K2" s="16" t="s">
        <v>114</v>
      </c>
      <c r="L2" s="16" t="s">
        <v>115</v>
      </c>
      <c r="M2" s="17" t="s">
        <v>116</v>
      </c>
      <c r="N2" s="16" t="s">
        <v>117</v>
      </c>
      <c r="O2" s="16" t="s">
        <v>118</v>
      </c>
      <c r="P2" s="18" t="s">
        <v>119</v>
      </c>
      <c r="Q2" s="19" t="s">
        <v>110</v>
      </c>
      <c r="R2" s="20" t="s">
        <v>120</v>
      </c>
      <c r="S2" s="20" t="s">
        <v>120</v>
      </c>
      <c r="T2" s="20" t="s">
        <v>120</v>
      </c>
      <c r="U2" s="20" t="s">
        <v>120</v>
      </c>
      <c r="V2" s="20" t="s">
        <v>121</v>
      </c>
      <c r="W2" s="21" t="s">
        <v>110</v>
      </c>
      <c r="X2" s="22" t="s">
        <v>122</v>
      </c>
      <c r="Y2" s="22" t="s">
        <v>121</v>
      </c>
      <c r="Z2" s="23" t="s">
        <v>110</v>
      </c>
      <c r="AA2" s="22" t="s">
        <v>122</v>
      </c>
      <c r="AB2" s="22" t="s">
        <v>121</v>
      </c>
      <c r="AC2" s="23" t="s">
        <v>110</v>
      </c>
      <c r="AD2" s="22" t="s">
        <v>122</v>
      </c>
      <c r="AE2" s="22" t="s">
        <v>121</v>
      </c>
      <c r="AF2" s="23" t="s">
        <v>110</v>
      </c>
      <c r="AG2" s="22" t="s">
        <v>122</v>
      </c>
      <c r="AH2" s="15" t="s">
        <v>121</v>
      </c>
      <c r="AI2" s="24" t="s">
        <v>110</v>
      </c>
      <c r="AJ2" s="25" t="s">
        <v>122</v>
      </c>
      <c r="AK2" s="26" t="s">
        <v>121</v>
      </c>
      <c r="AL2" s="27" t="s">
        <v>110</v>
      </c>
      <c r="AM2" s="28" t="s">
        <v>122</v>
      </c>
      <c r="AN2" s="29" t="s">
        <v>121</v>
      </c>
      <c r="AO2" s="30" t="s">
        <v>110</v>
      </c>
      <c r="AP2" s="77" t="s">
        <v>122</v>
      </c>
      <c r="AQ2" s="31" t="s">
        <v>123</v>
      </c>
      <c r="AR2" s="31" t="s">
        <v>124</v>
      </c>
      <c r="AS2" s="31" t="s">
        <v>125</v>
      </c>
      <c r="AT2" s="31" t="s">
        <v>126</v>
      </c>
      <c r="AU2" s="31" t="s">
        <v>127</v>
      </c>
      <c r="AV2" s="31" t="s">
        <v>128</v>
      </c>
      <c r="AW2" s="32" t="s">
        <v>129</v>
      </c>
      <c r="AX2" s="11" t="s">
        <v>130</v>
      </c>
      <c r="AY2" s="30" t="s">
        <v>110</v>
      </c>
      <c r="AZ2" s="30" t="s">
        <v>110</v>
      </c>
      <c r="BA2" s="11" t="s">
        <v>131</v>
      </c>
      <c r="BB2" s="11" t="s">
        <v>132</v>
      </c>
      <c r="BC2" s="11" t="s">
        <v>130</v>
      </c>
      <c r="BD2" s="30" t="s">
        <v>110</v>
      </c>
      <c r="BE2" s="30" t="s">
        <v>110</v>
      </c>
      <c r="BF2" s="11" t="s">
        <v>131</v>
      </c>
      <c r="BG2" s="11" t="s">
        <v>132</v>
      </c>
      <c r="BH2" s="11" t="s">
        <v>130</v>
      </c>
      <c r="BI2" s="30" t="s">
        <v>110</v>
      </c>
      <c r="BJ2" s="30" t="s">
        <v>110</v>
      </c>
      <c r="BK2" s="11" t="s">
        <v>131</v>
      </c>
      <c r="BL2" s="11" t="s">
        <v>132</v>
      </c>
      <c r="BM2" s="31" t="s">
        <v>133</v>
      </c>
      <c r="BN2" s="31" t="s">
        <v>134</v>
      </c>
      <c r="BO2" s="31" t="s">
        <v>135</v>
      </c>
      <c r="BP2" s="31" t="s">
        <v>134</v>
      </c>
      <c r="BQ2" s="33" t="s">
        <v>110</v>
      </c>
      <c r="BR2" s="37">
        <v>4.2361111111111099E-2</v>
      </c>
      <c r="BS2" s="31" t="s">
        <v>133</v>
      </c>
      <c r="BT2" s="31" t="s">
        <v>134</v>
      </c>
      <c r="BU2" s="31" t="s">
        <v>135</v>
      </c>
      <c r="BV2" s="31" t="s">
        <v>134</v>
      </c>
      <c r="BW2" s="33" t="s">
        <v>110</v>
      </c>
      <c r="BX2" s="37">
        <v>4.2361111111111099E-2</v>
      </c>
      <c r="BY2" s="31" t="s">
        <v>133</v>
      </c>
      <c r="BZ2" s="31" t="s">
        <v>134</v>
      </c>
      <c r="CA2" s="31" t="s">
        <v>133</v>
      </c>
      <c r="CB2" s="31" t="s">
        <v>134</v>
      </c>
      <c r="CC2" s="33" t="s">
        <v>110</v>
      </c>
      <c r="CD2" s="37">
        <v>4.2361111111111099E-2</v>
      </c>
      <c r="CE2" s="31" t="s">
        <v>133</v>
      </c>
      <c r="CF2" s="31" t="s">
        <v>134</v>
      </c>
      <c r="CG2" s="31" t="s">
        <v>135</v>
      </c>
      <c r="CH2" s="31" t="s">
        <v>134</v>
      </c>
      <c r="CI2" s="33" t="s">
        <v>110</v>
      </c>
      <c r="CJ2" s="37">
        <v>4.2361111111111099E-2</v>
      </c>
      <c r="CK2" s="11" t="s">
        <v>136</v>
      </c>
      <c r="CL2" s="11" t="s">
        <v>137</v>
      </c>
      <c r="CM2" s="30" t="s">
        <v>110</v>
      </c>
      <c r="CN2" s="30" t="s">
        <v>110</v>
      </c>
      <c r="CO2" s="11" t="s">
        <v>138</v>
      </c>
      <c r="CP2" s="11" t="s">
        <v>137</v>
      </c>
      <c r="CQ2" s="30" t="s">
        <v>110</v>
      </c>
      <c r="CR2" s="30" t="s">
        <v>110</v>
      </c>
      <c r="CS2" s="11" t="s">
        <v>138</v>
      </c>
      <c r="CT2" s="11" t="s">
        <v>137</v>
      </c>
      <c r="CU2" s="30" t="s">
        <v>110</v>
      </c>
      <c r="CV2" s="30" t="s">
        <v>110</v>
      </c>
      <c r="CW2" s="11" t="s">
        <v>138</v>
      </c>
      <c r="CX2" s="34" t="s">
        <v>107</v>
      </c>
      <c r="CY2" s="34" t="s">
        <v>107</v>
      </c>
      <c r="CZ2" s="35" t="s">
        <v>107</v>
      </c>
      <c r="DA2" s="36" t="s">
        <v>110</v>
      </c>
      <c r="DB2" s="35" t="s">
        <v>135</v>
      </c>
      <c r="DC2" s="35" t="s">
        <v>139</v>
      </c>
    </row>
    <row r="3" spans="1:107" ht="11.25" customHeight="1" x14ac:dyDescent="0.3">
      <c r="A3" s="38" t="s">
        <v>140</v>
      </c>
      <c r="B3" s="1" t="s">
        <v>108</v>
      </c>
      <c r="C3" s="2" t="s">
        <v>154</v>
      </c>
      <c r="D3" s="3">
        <f>AI3</f>
        <v>0</v>
      </c>
      <c r="E3" s="41">
        <v>45680</v>
      </c>
      <c r="F3" s="41">
        <v>45680</v>
      </c>
      <c r="G3" s="39" t="s">
        <v>111</v>
      </c>
      <c r="H3" s="39" t="s">
        <v>141</v>
      </c>
      <c r="I3" s="39" t="s">
        <v>113</v>
      </c>
      <c r="J3" s="39" t="s">
        <v>113</v>
      </c>
      <c r="K3" s="2" t="s">
        <v>178</v>
      </c>
      <c r="L3" s="57" t="s">
        <v>179</v>
      </c>
      <c r="M3" s="38" t="s">
        <v>368</v>
      </c>
      <c r="N3" s="2" t="s">
        <v>117</v>
      </c>
      <c r="O3" s="2" t="s">
        <v>144</v>
      </c>
      <c r="P3" s="1" t="s">
        <v>242</v>
      </c>
      <c r="Q3" s="42">
        <v>32625</v>
      </c>
      <c r="R3" s="2" t="s">
        <v>120</v>
      </c>
      <c r="V3" s="73" t="s">
        <v>143</v>
      </c>
      <c r="X3" s="56"/>
      <c r="Y3" s="73" t="s">
        <v>285</v>
      </c>
      <c r="AA3" s="2"/>
      <c r="AB3" s="73" t="s">
        <v>143</v>
      </c>
      <c r="AE3" s="73" t="s">
        <v>285</v>
      </c>
      <c r="AH3" s="74" t="str">
        <f t="shared" ref="AH3" si="0">AB3</f>
        <v>NO</v>
      </c>
      <c r="AI3" s="75"/>
      <c r="AJ3" s="76"/>
      <c r="AK3" s="50" t="s">
        <v>350</v>
      </c>
      <c r="AL3" s="50">
        <v>45672</v>
      </c>
      <c r="AM3" s="51" t="s">
        <v>353</v>
      </c>
      <c r="AN3" s="55" t="s">
        <v>157</v>
      </c>
      <c r="AO3" s="5">
        <v>45678</v>
      </c>
      <c r="AP3" s="78" t="s">
        <v>474</v>
      </c>
      <c r="AQ3" s="39" t="s">
        <v>143</v>
      </c>
      <c r="AR3" s="39"/>
      <c r="AS3" s="39" t="s">
        <v>143</v>
      </c>
      <c r="AT3" s="39"/>
      <c r="AU3" s="39" t="s">
        <v>143</v>
      </c>
      <c r="AV3" s="39"/>
      <c r="AW3" s="4">
        <v>3</v>
      </c>
      <c r="AX3" s="79" t="s">
        <v>143</v>
      </c>
      <c r="BC3" s="79" t="s">
        <v>370</v>
      </c>
      <c r="BD3" s="41">
        <v>45679</v>
      </c>
      <c r="BE3" s="41">
        <v>45680</v>
      </c>
      <c r="BF3" s="39" t="s">
        <v>366</v>
      </c>
      <c r="BG3" s="1" t="s">
        <v>473</v>
      </c>
      <c r="BH3" s="80" t="s">
        <v>143</v>
      </c>
      <c r="BI3" s="5"/>
      <c r="BJ3" s="5"/>
      <c r="BL3" s="1" t="s">
        <v>143</v>
      </c>
      <c r="BM3" s="80" t="s">
        <v>374</v>
      </c>
      <c r="BN3" s="39" t="s">
        <v>372</v>
      </c>
      <c r="BO3" s="39" t="s">
        <v>374</v>
      </c>
      <c r="BP3" s="39" t="s">
        <v>373</v>
      </c>
      <c r="BQ3" s="41">
        <v>45680</v>
      </c>
      <c r="BR3" s="43">
        <v>0.33333333333333331</v>
      </c>
      <c r="BS3" s="80" t="s">
        <v>143</v>
      </c>
      <c r="BT3" s="39"/>
      <c r="BU3" s="39"/>
      <c r="BV3" s="39"/>
      <c r="BW3" s="41"/>
      <c r="BX3" s="43"/>
      <c r="BY3" s="80" t="s">
        <v>143</v>
      </c>
      <c r="BZ3" s="41"/>
      <c r="CA3" s="38"/>
      <c r="CB3" s="38"/>
      <c r="CC3" s="41"/>
      <c r="CD3" s="43"/>
      <c r="CE3" s="80" t="s">
        <v>143</v>
      </c>
      <c r="CI3" s="41"/>
      <c r="CJ3" s="43"/>
    </row>
    <row r="4" spans="1:107" ht="11.25" customHeight="1" x14ac:dyDescent="0.3">
      <c r="A4" s="38" t="s">
        <v>140</v>
      </c>
      <c r="B4" s="1" t="s">
        <v>108</v>
      </c>
      <c r="C4" s="2" t="s">
        <v>154</v>
      </c>
      <c r="E4" s="41">
        <v>45680</v>
      </c>
      <c r="F4" s="41">
        <v>45680</v>
      </c>
      <c r="G4" s="39" t="s">
        <v>111</v>
      </c>
      <c r="H4" s="39" t="s">
        <v>141</v>
      </c>
      <c r="I4" s="39" t="s">
        <v>113</v>
      </c>
      <c r="J4" s="39" t="s">
        <v>113</v>
      </c>
      <c r="K4" s="2" t="s">
        <v>180</v>
      </c>
      <c r="L4" s="57" t="s">
        <v>181</v>
      </c>
      <c r="M4" s="38" t="s">
        <v>176</v>
      </c>
      <c r="N4" s="60" t="s">
        <v>228</v>
      </c>
      <c r="O4" s="61" t="s">
        <v>241</v>
      </c>
      <c r="P4" s="1" t="s">
        <v>247</v>
      </c>
      <c r="Q4" s="42">
        <v>30016</v>
      </c>
      <c r="R4" s="2" t="s">
        <v>282</v>
      </c>
      <c r="S4" s="2" t="s">
        <v>120</v>
      </c>
      <c r="V4" s="73" t="s">
        <v>291</v>
      </c>
      <c r="W4" s="5">
        <v>45677</v>
      </c>
      <c r="X4" s="49" t="s">
        <v>292</v>
      </c>
      <c r="Y4" s="73" t="s">
        <v>327</v>
      </c>
      <c r="Z4" s="5">
        <v>45677</v>
      </c>
      <c r="AA4" s="1" t="s">
        <v>328</v>
      </c>
      <c r="AB4" s="73" t="s">
        <v>329</v>
      </c>
      <c r="AC4" s="5">
        <v>45677</v>
      </c>
      <c r="AD4" s="1" t="s">
        <v>330</v>
      </c>
      <c r="AE4" s="73" t="s">
        <v>285</v>
      </c>
      <c r="AH4" s="74" t="str">
        <f t="shared" ref="AH4:AH10" si="1">AB4</f>
        <v>LA705 MAD SCL</v>
      </c>
      <c r="AI4" s="75">
        <f t="shared" ref="AI4:AI10" si="2">AC4</f>
        <v>45677</v>
      </c>
      <c r="AJ4" s="76" t="str">
        <f t="shared" ref="AJ4:AJ10" si="3">AD4</f>
        <v>23:35 09:20+1</v>
      </c>
      <c r="AK4" s="50" t="s">
        <v>356</v>
      </c>
      <c r="AL4" s="41">
        <v>45678</v>
      </c>
      <c r="AM4" s="51" t="s">
        <v>357</v>
      </c>
      <c r="AN4" s="55" t="s">
        <v>157</v>
      </c>
      <c r="AO4" s="5">
        <v>45680</v>
      </c>
      <c r="AP4" s="78" t="s">
        <v>158</v>
      </c>
      <c r="AQ4" s="39" t="s">
        <v>123</v>
      </c>
      <c r="AR4" s="39" t="s">
        <v>124</v>
      </c>
      <c r="AS4" s="39" t="s">
        <v>125</v>
      </c>
      <c r="AT4" s="39" t="s">
        <v>126</v>
      </c>
      <c r="AU4" s="39" t="s">
        <v>127</v>
      </c>
      <c r="AV4" s="39" t="s">
        <v>128</v>
      </c>
      <c r="AW4" s="4">
        <v>2</v>
      </c>
      <c r="AX4" s="79" t="s">
        <v>369</v>
      </c>
      <c r="AY4" s="5">
        <v>45678</v>
      </c>
      <c r="AZ4" s="5">
        <v>45680</v>
      </c>
      <c r="BA4" s="1" t="s">
        <v>367</v>
      </c>
      <c r="BB4" s="1" t="s">
        <v>468</v>
      </c>
      <c r="BC4" s="79" t="s">
        <v>143</v>
      </c>
      <c r="BD4" s="41"/>
      <c r="BE4" s="41"/>
      <c r="BG4" s="1" t="s">
        <v>143</v>
      </c>
      <c r="BH4" s="80" t="s">
        <v>143</v>
      </c>
      <c r="BI4" s="5"/>
      <c r="BJ4" s="5"/>
      <c r="BL4" s="1" t="s">
        <v>143</v>
      </c>
      <c r="BM4" s="80" t="s">
        <v>135</v>
      </c>
      <c r="BN4" s="39" t="s">
        <v>371</v>
      </c>
      <c r="BO4" s="39" t="s">
        <v>135</v>
      </c>
      <c r="BP4" s="39" t="s">
        <v>372</v>
      </c>
      <c r="BQ4" s="41">
        <f t="shared" ref="BQ4:BQ10" si="4">AL4</f>
        <v>45678</v>
      </c>
      <c r="BR4" s="43" t="str">
        <f t="shared" ref="BR4:BR10" si="5">MID(AM4,7,8)</f>
        <v>19:27</v>
      </c>
      <c r="BS4" s="80" t="s">
        <v>135</v>
      </c>
      <c r="BT4" s="1" t="s">
        <v>372</v>
      </c>
      <c r="BU4" s="1" t="s">
        <v>135</v>
      </c>
      <c r="BV4" s="9" t="s">
        <v>371</v>
      </c>
      <c r="BW4" s="41">
        <f t="shared" ref="BW4:BW10" si="6">AZ4</f>
        <v>45680</v>
      </c>
      <c r="BX4" s="43">
        <v>0.33333333333333331</v>
      </c>
      <c r="BY4" s="80" t="s">
        <v>374</v>
      </c>
      <c r="BZ4" s="41" t="s">
        <v>371</v>
      </c>
      <c r="CA4" s="38" t="s">
        <v>374</v>
      </c>
      <c r="CB4" s="38" t="s">
        <v>373</v>
      </c>
      <c r="CC4" s="41">
        <v>45680</v>
      </c>
      <c r="CD4" s="43">
        <v>0.38541666666666669</v>
      </c>
      <c r="CE4" s="80" t="s">
        <v>143</v>
      </c>
      <c r="CJ4" s="43"/>
    </row>
    <row r="5" spans="1:107" ht="11.25" customHeight="1" x14ac:dyDescent="0.3">
      <c r="A5" s="38" t="s">
        <v>140</v>
      </c>
      <c r="B5" s="1" t="s">
        <v>108</v>
      </c>
      <c r="C5" s="2" t="s">
        <v>154</v>
      </c>
      <c r="E5" s="41">
        <v>45680</v>
      </c>
      <c r="F5" s="41">
        <v>45680</v>
      </c>
      <c r="G5" s="39" t="s">
        <v>111</v>
      </c>
      <c r="H5" s="39" t="s">
        <v>141</v>
      </c>
      <c r="I5" s="39" t="s">
        <v>113</v>
      </c>
      <c r="J5" s="39" t="s">
        <v>113</v>
      </c>
      <c r="K5" s="2" t="s">
        <v>182</v>
      </c>
      <c r="L5" s="57" t="s">
        <v>183</v>
      </c>
      <c r="M5" s="38" t="s">
        <v>176</v>
      </c>
      <c r="N5" s="60" t="s">
        <v>152</v>
      </c>
      <c r="O5" s="61" t="s">
        <v>248</v>
      </c>
      <c r="P5" s="1" t="s">
        <v>249</v>
      </c>
      <c r="Q5" s="42">
        <v>33464</v>
      </c>
      <c r="R5" s="2" t="s">
        <v>278</v>
      </c>
      <c r="S5" s="2" t="s">
        <v>120</v>
      </c>
      <c r="V5" s="73" t="s">
        <v>293</v>
      </c>
      <c r="W5" s="5">
        <v>45678</v>
      </c>
      <c r="X5" s="49" t="s">
        <v>294</v>
      </c>
      <c r="Y5" s="73" t="s">
        <v>331</v>
      </c>
      <c r="Z5" s="5">
        <v>45678</v>
      </c>
      <c r="AA5" s="1" t="s">
        <v>330</v>
      </c>
      <c r="AB5" s="73" t="s">
        <v>143</v>
      </c>
      <c r="AE5" s="73" t="s">
        <v>285</v>
      </c>
      <c r="AH5" s="74" t="str">
        <f t="shared" si="1"/>
        <v>NO</v>
      </c>
      <c r="AI5" s="75"/>
      <c r="AJ5" s="76"/>
      <c r="AK5" s="50" t="s">
        <v>168</v>
      </c>
      <c r="AL5" s="41">
        <v>45679</v>
      </c>
      <c r="AM5" s="51" t="s">
        <v>358</v>
      </c>
      <c r="AN5" s="55" t="s">
        <v>157</v>
      </c>
      <c r="AO5" s="5">
        <v>45680</v>
      </c>
      <c r="AP5" s="78" t="s">
        <v>158</v>
      </c>
      <c r="AQ5" s="39" t="s">
        <v>123</v>
      </c>
      <c r="AR5" s="39" t="s">
        <v>124</v>
      </c>
      <c r="AS5" s="39" t="s">
        <v>125</v>
      </c>
      <c r="AT5" s="39" t="s">
        <v>126</v>
      </c>
      <c r="AU5" s="39" t="s">
        <v>127</v>
      </c>
      <c r="AV5" s="39" t="s">
        <v>128</v>
      </c>
      <c r="AW5" s="4">
        <v>3</v>
      </c>
      <c r="AX5" s="79" t="s">
        <v>369</v>
      </c>
      <c r="AY5" s="5">
        <v>45679</v>
      </c>
      <c r="AZ5" s="5">
        <v>45680</v>
      </c>
      <c r="BA5" s="1" t="s">
        <v>366</v>
      </c>
      <c r="BB5" s="1" t="s">
        <v>469</v>
      </c>
      <c r="BC5" s="79" t="s">
        <v>143</v>
      </c>
      <c r="BD5" s="41"/>
      <c r="BE5" s="41"/>
      <c r="BG5" s="1" t="s">
        <v>143</v>
      </c>
      <c r="BH5" s="80" t="s">
        <v>143</v>
      </c>
      <c r="BI5" s="5"/>
      <c r="BJ5" s="5"/>
      <c r="BL5" s="1" t="s">
        <v>143</v>
      </c>
      <c r="BM5" s="80" t="s">
        <v>135</v>
      </c>
      <c r="BN5" s="39" t="s">
        <v>371</v>
      </c>
      <c r="BO5" s="39" t="s">
        <v>135</v>
      </c>
      <c r="BP5" s="39" t="s">
        <v>372</v>
      </c>
      <c r="BQ5" s="41">
        <f t="shared" si="4"/>
        <v>45679</v>
      </c>
      <c r="BR5" s="43" t="str">
        <f t="shared" si="5"/>
        <v>17:42</v>
      </c>
      <c r="BS5" s="80" t="s">
        <v>135</v>
      </c>
      <c r="BT5" s="1" t="s">
        <v>372</v>
      </c>
      <c r="BU5" s="1" t="s">
        <v>135</v>
      </c>
      <c r="BV5" s="9" t="s">
        <v>371</v>
      </c>
      <c r="BW5" s="41">
        <f t="shared" si="6"/>
        <v>45680</v>
      </c>
      <c r="BX5" s="43">
        <v>0.33333333333333331</v>
      </c>
      <c r="BY5" s="80" t="s">
        <v>374</v>
      </c>
      <c r="BZ5" s="41" t="s">
        <v>371</v>
      </c>
      <c r="CA5" s="38" t="s">
        <v>374</v>
      </c>
      <c r="CB5" s="38" t="s">
        <v>373</v>
      </c>
      <c r="CC5" s="41">
        <v>45680</v>
      </c>
      <c r="CD5" s="43">
        <v>0.38541666666666669</v>
      </c>
      <c r="CE5" s="80" t="s">
        <v>143</v>
      </c>
      <c r="CJ5" s="43"/>
    </row>
    <row r="6" spans="1:107" ht="11.25" customHeight="1" x14ac:dyDescent="0.3">
      <c r="A6" s="38" t="s">
        <v>140</v>
      </c>
      <c r="B6" s="1" t="s">
        <v>108</v>
      </c>
      <c r="C6" s="2" t="s">
        <v>154</v>
      </c>
      <c r="E6" s="41">
        <v>45680</v>
      </c>
      <c r="F6" s="41">
        <v>45680</v>
      </c>
      <c r="G6" s="39" t="s">
        <v>111</v>
      </c>
      <c r="H6" s="39" t="s">
        <v>141</v>
      </c>
      <c r="I6" s="39" t="s">
        <v>113</v>
      </c>
      <c r="J6" s="39" t="s">
        <v>113</v>
      </c>
      <c r="K6" s="2" t="s">
        <v>184</v>
      </c>
      <c r="L6" s="57" t="s">
        <v>185</v>
      </c>
      <c r="M6" s="38" t="s">
        <v>176</v>
      </c>
      <c r="N6" s="60" t="s">
        <v>142</v>
      </c>
      <c r="O6" s="61" t="s">
        <v>250</v>
      </c>
      <c r="P6" s="1" t="s">
        <v>251</v>
      </c>
      <c r="Q6" s="42">
        <v>32473</v>
      </c>
      <c r="R6" s="2" t="s">
        <v>279</v>
      </c>
      <c r="S6" s="2" t="s">
        <v>120</v>
      </c>
      <c r="V6" s="73" t="s">
        <v>286</v>
      </c>
      <c r="W6" s="5">
        <v>45677</v>
      </c>
      <c r="X6" s="49" t="s">
        <v>295</v>
      </c>
      <c r="Y6" s="73" t="s">
        <v>164</v>
      </c>
      <c r="Z6" s="5">
        <v>45678</v>
      </c>
      <c r="AA6" s="1" t="s">
        <v>165</v>
      </c>
      <c r="AB6" s="73" t="s">
        <v>166</v>
      </c>
      <c r="AC6" s="5">
        <v>45678</v>
      </c>
      <c r="AD6" s="1" t="s">
        <v>167</v>
      </c>
      <c r="AE6" s="73" t="s">
        <v>285</v>
      </c>
      <c r="AH6" s="74" t="str">
        <f t="shared" si="1"/>
        <v>LA8207 GRU SCL</v>
      </c>
      <c r="AI6" s="75">
        <f t="shared" si="2"/>
        <v>45678</v>
      </c>
      <c r="AJ6" s="76" t="str">
        <f t="shared" si="3"/>
        <v>21:05 01:25+1</v>
      </c>
      <c r="AK6" s="50" t="s">
        <v>354</v>
      </c>
      <c r="AL6" s="41">
        <v>45679</v>
      </c>
      <c r="AM6" s="51" t="s">
        <v>355</v>
      </c>
      <c r="AN6" s="55" t="s">
        <v>157</v>
      </c>
      <c r="AO6" s="5">
        <v>45680</v>
      </c>
      <c r="AP6" s="78" t="s">
        <v>158</v>
      </c>
      <c r="AQ6" s="39" t="s">
        <v>123</v>
      </c>
      <c r="AR6" s="39" t="s">
        <v>124</v>
      </c>
      <c r="AS6" s="39" t="s">
        <v>125</v>
      </c>
      <c r="AT6" s="39" t="s">
        <v>126</v>
      </c>
      <c r="AU6" s="39" t="s">
        <v>127</v>
      </c>
      <c r="AV6" s="39" t="s">
        <v>128</v>
      </c>
      <c r="AW6" s="4">
        <v>3</v>
      </c>
      <c r="AX6" s="79" t="s">
        <v>369</v>
      </c>
      <c r="AY6" s="5">
        <v>45678</v>
      </c>
      <c r="AZ6" s="5">
        <v>45680</v>
      </c>
      <c r="BA6" s="1" t="s">
        <v>367</v>
      </c>
      <c r="BB6" s="1" t="s">
        <v>468</v>
      </c>
      <c r="BC6" s="79" t="s">
        <v>143</v>
      </c>
      <c r="BD6" s="41"/>
      <c r="BE6" s="41"/>
      <c r="BG6" s="1" t="s">
        <v>143</v>
      </c>
      <c r="BH6" s="80" t="s">
        <v>143</v>
      </c>
      <c r="BI6" s="5"/>
      <c r="BJ6" s="5"/>
      <c r="BL6" s="1" t="s">
        <v>143</v>
      </c>
      <c r="BM6" s="80" t="s">
        <v>135</v>
      </c>
      <c r="BN6" s="39" t="s">
        <v>371</v>
      </c>
      <c r="BO6" s="39" t="s">
        <v>135</v>
      </c>
      <c r="BP6" s="39" t="s">
        <v>372</v>
      </c>
      <c r="BQ6" s="41">
        <f t="shared" si="4"/>
        <v>45679</v>
      </c>
      <c r="BR6" s="43" t="str">
        <f t="shared" si="5"/>
        <v>07:55</v>
      </c>
      <c r="BS6" s="80" t="s">
        <v>135</v>
      </c>
      <c r="BT6" s="1" t="s">
        <v>372</v>
      </c>
      <c r="BU6" s="1" t="s">
        <v>135</v>
      </c>
      <c r="BV6" s="9" t="s">
        <v>371</v>
      </c>
      <c r="BW6" s="41">
        <f t="shared" si="6"/>
        <v>45680</v>
      </c>
      <c r="BX6" s="43">
        <v>0.33333333333333331</v>
      </c>
      <c r="BY6" s="80" t="s">
        <v>374</v>
      </c>
      <c r="BZ6" s="41" t="s">
        <v>371</v>
      </c>
      <c r="CA6" s="38" t="s">
        <v>374</v>
      </c>
      <c r="CB6" s="38" t="s">
        <v>373</v>
      </c>
      <c r="CC6" s="41">
        <v>45680</v>
      </c>
      <c r="CD6" s="43">
        <v>0.38541666666666669</v>
      </c>
      <c r="CE6" s="80" t="s">
        <v>143</v>
      </c>
      <c r="CJ6" s="43"/>
    </row>
    <row r="7" spans="1:107" ht="11.25" customHeight="1" x14ac:dyDescent="0.3">
      <c r="A7" s="38" t="s">
        <v>140</v>
      </c>
      <c r="B7" s="1" t="s">
        <v>108</v>
      </c>
      <c r="C7" s="2" t="s">
        <v>154</v>
      </c>
      <c r="E7" s="41">
        <v>45680</v>
      </c>
      <c r="F7" s="41">
        <v>45680</v>
      </c>
      <c r="G7" s="39" t="s">
        <v>111</v>
      </c>
      <c r="H7" s="39" t="s">
        <v>141</v>
      </c>
      <c r="I7" s="39" t="s">
        <v>113</v>
      </c>
      <c r="J7" s="39" t="s">
        <v>113</v>
      </c>
      <c r="K7" s="2" t="s">
        <v>186</v>
      </c>
      <c r="L7" s="57" t="s">
        <v>187</v>
      </c>
      <c r="M7" s="38" t="s">
        <v>176</v>
      </c>
      <c r="N7" s="60" t="s">
        <v>145</v>
      </c>
      <c r="O7" s="61" t="s">
        <v>243</v>
      </c>
      <c r="P7" s="1" t="s">
        <v>252</v>
      </c>
      <c r="Q7" s="42">
        <v>31803</v>
      </c>
      <c r="R7" s="2" t="s">
        <v>277</v>
      </c>
      <c r="S7" s="2" t="s">
        <v>120</v>
      </c>
      <c r="V7" s="73" t="s">
        <v>296</v>
      </c>
      <c r="W7" s="5">
        <v>45678</v>
      </c>
      <c r="X7" s="49" t="s">
        <v>297</v>
      </c>
      <c r="Y7" s="73" t="s">
        <v>320</v>
      </c>
      <c r="Z7" s="5">
        <v>45678</v>
      </c>
      <c r="AA7" s="1" t="s">
        <v>321</v>
      </c>
      <c r="AB7" s="73" t="s">
        <v>143</v>
      </c>
      <c r="AE7" s="73" t="s">
        <v>285</v>
      </c>
      <c r="AH7" s="74" t="str">
        <f t="shared" si="1"/>
        <v>NO</v>
      </c>
      <c r="AI7" s="75"/>
      <c r="AJ7" s="76"/>
      <c r="AK7" s="50" t="s">
        <v>168</v>
      </c>
      <c r="AL7" s="41">
        <v>45679</v>
      </c>
      <c r="AM7" s="51" t="s">
        <v>359</v>
      </c>
      <c r="AN7" s="55" t="s">
        <v>157</v>
      </c>
      <c r="AO7" s="5">
        <v>45680</v>
      </c>
      <c r="AP7" s="78" t="s">
        <v>158</v>
      </c>
      <c r="AQ7" s="39" t="s">
        <v>123</v>
      </c>
      <c r="AR7" s="39" t="s">
        <v>124</v>
      </c>
      <c r="AS7" s="39" t="s">
        <v>125</v>
      </c>
      <c r="AT7" s="39" t="s">
        <v>126</v>
      </c>
      <c r="AU7" s="39" t="s">
        <v>127</v>
      </c>
      <c r="AV7" s="39" t="s">
        <v>128</v>
      </c>
      <c r="AW7" s="4">
        <v>3</v>
      </c>
      <c r="AX7" s="79" t="s">
        <v>369</v>
      </c>
      <c r="AY7" s="5">
        <v>45679</v>
      </c>
      <c r="AZ7" s="5">
        <v>45680</v>
      </c>
      <c r="BA7" s="1" t="s">
        <v>366</v>
      </c>
      <c r="BB7" s="1" t="s">
        <v>469</v>
      </c>
      <c r="BC7" s="79" t="s">
        <v>143</v>
      </c>
      <c r="BD7" s="41"/>
      <c r="BE7" s="41"/>
      <c r="BG7" s="1" t="s">
        <v>143</v>
      </c>
      <c r="BH7" s="80" t="s">
        <v>143</v>
      </c>
      <c r="BI7" s="5"/>
      <c r="BJ7" s="5"/>
      <c r="BL7" s="1" t="s">
        <v>143</v>
      </c>
      <c r="BM7" s="80" t="s">
        <v>135</v>
      </c>
      <c r="BN7" s="39" t="s">
        <v>371</v>
      </c>
      <c r="BO7" s="39" t="s">
        <v>135</v>
      </c>
      <c r="BP7" s="39" t="s">
        <v>372</v>
      </c>
      <c r="BQ7" s="41">
        <f t="shared" si="4"/>
        <v>45679</v>
      </c>
      <c r="BR7" s="43" t="str">
        <f t="shared" si="5"/>
        <v>17:41</v>
      </c>
      <c r="BS7" s="80" t="s">
        <v>135</v>
      </c>
      <c r="BT7" s="1" t="s">
        <v>372</v>
      </c>
      <c r="BU7" s="1" t="s">
        <v>135</v>
      </c>
      <c r="BV7" s="9" t="s">
        <v>371</v>
      </c>
      <c r="BW7" s="41">
        <f t="shared" si="6"/>
        <v>45680</v>
      </c>
      <c r="BX7" s="43">
        <v>0.33333333333333331</v>
      </c>
      <c r="BY7" s="80" t="s">
        <v>374</v>
      </c>
      <c r="BZ7" s="41" t="s">
        <v>371</v>
      </c>
      <c r="CA7" s="38" t="s">
        <v>374</v>
      </c>
      <c r="CB7" s="38" t="s">
        <v>373</v>
      </c>
      <c r="CC7" s="41">
        <v>45680</v>
      </c>
      <c r="CD7" s="43">
        <v>0.38541666666666669</v>
      </c>
      <c r="CE7" s="80" t="s">
        <v>143</v>
      </c>
      <c r="CJ7" s="43"/>
    </row>
    <row r="8" spans="1:107" ht="11.25" customHeight="1" x14ac:dyDescent="0.3">
      <c r="A8" s="38" t="s">
        <v>140</v>
      </c>
      <c r="B8" s="1" t="s">
        <v>108</v>
      </c>
      <c r="C8" s="2" t="s">
        <v>154</v>
      </c>
      <c r="E8" s="41">
        <v>45680</v>
      </c>
      <c r="F8" s="41">
        <v>45680</v>
      </c>
      <c r="G8" s="39" t="s">
        <v>111</v>
      </c>
      <c r="H8" s="39" t="s">
        <v>141</v>
      </c>
      <c r="I8" s="39" t="s">
        <v>113</v>
      </c>
      <c r="J8" s="39" t="s">
        <v>113</v>
      </c>
      <c r="K8" s="2" t="s">
        <v>188</v>
      </c>
      <c r="L8" s="57" t="s">
        <v>189</v>
      </c>
      <c r="M8" s="38" t="s">
        <v>176</v>
      </c>
      <c r="N8" s="60" t="s">
        <v>145</v>
      </c>
      <c r="O8" s="61" t="s">
        <v>144</v>
      </c>
      <c r="P8" s="1" t="s">
        <v>253</v>
      </c>
      <c r="Q8" s="42">
        <v>26493</v>
      </c>
      <c r="R8" s="2" t="s">
        <v>159</v>
      </c>
      <c r="S8" s="2" t="s">
        <v>120</v>
      </c>
      <c r="V8" s="73" t="s">
        <v>298</v>
      </c>
      <c r="W8" s="5">
        <v>45679</v>
      </c>
      <c r="X8" s="49" t="s">
        <v>299</v>
      </c>
      <c r="Y8" s="73" t="s">
        <v>332</v>
      </c>
      <c r="Z8" s="5">
        <v>45679</v>
      </c>
      <c r="AA8" s="1" t="s">
        <v>333</v>
      </c>
      <c r="AB8" s="73" t="s">
        <v>143</v>
      </c>
      <c r="AE8" s="73" t="s">
        <v>285</v>
      </c>
      <c r="AH8" s="74" t="str">
        <f t="shared" si="1"/>
        <v>NO</v>
      </c>
      <c r="AI8" s="75"/>
      <c r="AJ8" s="76"/>
      <c r="AK8" s="50" t="s">
        <v>156</v>
      </c>
      <c r="AL8" s="41">
        <v>45679</v>
      </c>
      <c r="AM8" s="51" t="s">
        <v>360</v>
      </c>
      <c r="AN8" s="55" t="s">
        <v>157</v>
      </c>
      <c r="AO8" s="5">
        <v>45680</v>
      </c>
      <c r="AP8" s="78" t="s">
        <v>158</v>
      </c>
      <c r="AQ8" s="39" t="s">
        <v>123</v>
      </c>
      <c r="AR8" s="39" t="s">
        <v>124</v>
      </c>
      <c r="AS8" s="39" t="s">
        <v>125</v>
      </c>
      <c r="AT8" s="39" t="s">
        <v>126</v>
      </c>
      <c r="AU8" s="39" t="s">
        <v>127</v>
      </c>
      <c r="AV8" s="39" t="s">
        <v>128</v>
      </c>
      <c r="AW8" s="4">
        <v>3</v>
      </c>
      <c r="AX8" s="79" t="s">
        <v>369</v>
      </c>
      <c r="AY8" s="5">
        <v>45679</v>
      </c>
      <c r="AZ8" s="5">
        <v>45680</v>
      </c>
      <c r="BA8" s="1" t="s">
        <v>366</v>
      </c>
      <c r="BB8" s="1" t="s">
        <v>469</v>
      </c>
      <c r="BC8" s="79" t="s">
        <v>143</v>
      </c>
      <c r="BD8" s="41"/>
      <c r="BE8" s="41"/>
      <c r="BG8" s="1" t="s">
        <v>143</v>
      </c>
      <c r="BH8" s="80" t="s">
        <v>143</v>
      </c>
      <c r="BI8" s="5"/>
      <c r="BJ8" s="5"/>
      <c r="BL8" s="1" t="s">
        <v>143</v>
      </c>
      <c r="BM8" s="80" t="s">
        <v>135</v>
      </c>
      <c r="BN8" s="39" t="s">
        <v>371</v>
      </c>
      <c r="BO8" s="39" t="s">
        <v>135</v>
      </c>
      <c r="BP8" s="39" t="s">
        <v>372</v>
      </c>
      <c r="BQ8" s="41">
        <f t="shared" si="4"/>
        <v>45679</v>
      </c>
      <c r="BR8" s="43" t="str">
        <f t="shared" si="5"/>
        <v>20:07</v>
      </c>
      <c r="BS8" s="80" t="s">
        <v>135</v>
      </c>
      <c r="BT8" s="1" t="s">
        <v>372</v>
      </c>
      <c r="BU8" s="1" t="s">
        <v>135</v>
      </c>
      <c r="BV8" s="9" t="s">
        <v>371</v>
      </c>
      <c r="BW8" s="41">
        <f t="shared" si="6"/>
        <v>45680</v>
      </c>
      <c r="BX8" s="43">
        <v>0.33333333333333331</v>
      </c>
      <c r="BY8" s="80" t="s">
        <v>374</v>
      </c>
      <c r="BZ8" s="41" t="s">
        <v>371</v>
      </c>
      <c r="CA8" s="38" t="s">
        <v>374</v>
      </c>
      <c r="CB8" s="38" t="s">
        <v>373</v>
      </c>
      <c r="CC8" s="41">
        <v>45680</v>
      </c>
      <c r="CD8" s="43">
        <v>0.38541666666666669</v>
      </c>
      <c r="CE8" s="80" t="s">
        <v>143</v>
      </c>
      <c r="CJ8" s="43"/>
    </row>
    <row r="9" spans="1:107" ht="11.25" customHeight="1" x14ac:dyDescent="0.3">
      <c r="A9" s="38" t="s">
        <v>140</v>
      </c>
      <c r="B9" s="1" t="s">
        <v>108</v>
      </c>
      <c r="C9" s="2" t="s">
        <v>154</v>
      </c>
      <c r="E9" s="41">
        <v>45680</v>
      </c>
      <c r="F9" s="41">
        <v>45680</v>
      </c>
      <c r="G9" s="39" t="s">
        <v>111</v>
      </c>
      <c r="H9" s="39" t="s">
        <v>141</v>
      </c>
      <c r="I9" s="39" t="s">
        <v>113</v>
      </c>
      <c r="J9" s="39" t="s">
        <v>113</v>
      </c>
      <c r="K9" s="2" t="s">
        <v>190</v>
      </c>
      <c r="L9" s="57" t="s">
        <v>191</v>
      </c>
      <c r="M9" s="38" t="s">
        <v>368</v>
      </c>
      <c r="N9" s="60" t="s">
        <v>227</v>
      </c>
      <c r="O9" s="61" t="s">
        <v>144</v>
      </c>
      <c r="P9" s="1" t="s">
        <v>254</v>
      </c>
      <c r="Q9" s="42">
        <v>23543</v>
      </c>
      <c r="R9" s="2" t="s">
        <v>283</v>
      </c>
      <c r="S9" s="2" t="s">
        <v>120</v>
      </c>
      <c r="V9" s="73" t="s">
        <v>300</v>
      </c>
      <c r="W9" s="5">
        <v>45678</v>
      </c>
      <c r="X9" s="49" t="s">
        <v>301</v>
      </c>
      <c r="Y9" s="73" t="s">
        <v>334</v>
      </c>
      <c r="Z9" s="5">
        <v>45678</v>
      </c>
      <c r="AA9" s="1" t="s">
        <v>335</v>
      </c>
      <c r="AB9" s="73" t="s">
        <v>143</v>
      </c>
      <c r="AE9" s="73" t="s">
        <v>285</v>
      </c>
      <c r="AH9" s="74" t="str">
        <f t="shared" si="1"/>
        <v>NO</v>
      </c>
      <c r="AI9" s="75"/>
      <c r="AJ9" s="76"/>
      <c r="AK9" s="50" t="s">
        <v>156</v>
      </c>
      <c r="AL9" s="41">
        <v>45679</v>
      </c>
      <c r="AM9" s="51" t="s">
        <v>360</v>
      </c>
      <c r="AN9" s="55" t="s">
        <v>157</v>
      </c>
      <c r="AO9" s="5">
        <v>45680</v>
      </c>
      <c r="AP9" s="78" t="s">
        <v>158</v>
      </c>
      <c r="AQ9" s="39" t="s">
        <v>123</v>
      </c>
      <c r="AR9" s="39" t="s">
        <v>124</v>
      </c>
      <c r="AS9" s="39" t="s">
        <v>125</v>
      </c>
      <c r="AT9" s="39" t="s">
        <v>126</v>
      </c>
      <c r="AU9" s="39" t="s">
        <v>127</v>
      </c>
      <c r="AV9" s="39" t="s">
        <v>128</v>
      </c>
      <c r="AW9" s="4">
        <v>3</v>
      </c>
      <c r="AX9" s="79" t="s">
        <v>369</v>
      </c>
      <c r="AY9" s="5">
        <v>45679</v>
      </c>
      <c r="AZ9" s="5">
        <v>45680</v>
      </c>
      <c r="BA9" s="1" t="s">
        <v>367</v>
      </c>
      <c r="BB9" s="1" t="s">
        <v>469</v>
      </c>
      <c r="BC9" s="79" t="s">
        <v>143</v>
      </c>
      <c r="BD9" s="41"/>
      <c r="BE9" s="41"/>
      <c r="BG9" s="1" t="s">
        <v>143</v>
      </c>
      <c r="BH9" s="80" t="s">
        <v>143</v>
      </c>
      <c r="BI9" s="5"/>
      <c r="BJ9" s="5"/>
      <c r="BL9" s="1" t="s">
        <v>143</v>
      </c>
      <c r="BM9" s="80" t="s">
        <v>135</v>
      </c>
      <c r="BN9" s="39" t="s">
        <v>371</v>
      </c>
      <c r="BO9" s="39" t="s">
        <v>135</v>
      </c>
      <c r="BP9" s="39" t="s">
        <v>372</v>
      </c>
      <c r="BQ9" s="41">
        <f t="shared" si="4"/>
        <v>45679</v>
      </c>
      <c r="BR9" s="43" t="str">
        <f t="shared" si="5"/>
        <v>20:07</v>
      </c>
      <c r="BS9" s="80" t="s">
        <v>135</v>
      </c>
      <c r="BT9" s="1" t="s">
        <v>372</v>
      </c>
      <c r="BU9" s="1" t="s">
        <v>135</v>
      </c>
      <c r="BV9" s="9" t="s">
        <v>371</v>
      </c>
      <c r="BW9" s="41">
        <f t="shared" si="6"/>
        <v>45680</v>
      </c>
      <c r="BX9" s="43">
        <v>0.33333333333333331</v>
      </c>
      <c r="BY9" s="80" t="s">
        <v>374</v>
      </c>
      <c r="BZ9" s="41" t="s">
        <v>371</v>
      </c>
      <c r="CA9" s="38" t="s">
        <v>374</v>
      </c>
      <c r="CB9" s="38" t="s">
        <v>373</v>
      </c>
      <c r="CC9" s="41">
        <v>45680</v>
      </c>
      <c r="CD9" s="43">
        <v>0.38541666666666669</v>
      </c>
      <c r="CE9" s="80" t="s">
        <v>143</v>
      </c>
      <c r="CJ9" s="43"/>
    </row>
    <row r="10" spans="1:107" ht="11.25" customHeight="1" x14ac:dyDescent="0.3">
      <c r="A10" s="38" t="s">
        <v>140</v>
      </c>
      <c r="B10" s="1" t="s">
        <v>108</v>
      </c>
      <c r="C10" s="2" t="s">
        <v>154</v>
      </c>
      <c r="E10" s="41">
        <v>45680</v>
      </c>
      <c r="F10" s="41">
        <v>45680</v>
      </c>
      <c r="G10" s="39" t="s">
        <v>111</v>
      </c>
      <c r="H10" s="39" t="s">
        <v>141</v>
      </c>
      <c r="I10" s="39" t="s">
        <v>113</v>
      </c>
      <c r="J10" s="39" t="s">
        <v>113</v>
      </c>
      <c r="K10" s="2" t="s">
        <v>192</v>
      </c>
      <c r="L10" s="57" t="s">
        <v>193</v>
      </c>
      <c r="M10" s="38" t="s">
        <v>176</v>
      </c>
      <c r="N10" s="60" t="s">
        <v>169</v>
      </c>
      <c r="O10" s="2" t="s">
        <v>160</v>
      </c>
      <c r="P10" s="1" t="s">
        <v>255</v>
      </c>
      <c r="Q10" s="42">
        <v>29601</v>
      </c>
      <c r="R10" s="2" t="s">
        <v>279</v>
      </c>
      <c r="S10" s="2" t="s">
        <v>120</v>
      </c>
      <c r="V10" s="73" t="s">
        <v>302</v>
      </c>
      <c r="W10" s="5">
        <v>45678</v>
      </c>
      <c r="X10" s="49" t="s">
        <v>303</v>
      </c>
      <c r="Y10" s="73" t="s">
        <v>164</v>
      </c>
      <c r="Z10" s="5">
        <v>45678</v>
      </c>
      <c r="AA10" s="1" t="s">
        <v>165</v>
      </c>
      <c r="AB10" s="73" t="s">
        <v>336</v>
      </c>
      <c r="AC10" s="5">
        <v>45678</v>
      </c>
      <c r="AD10" s="1" t="s">
        <v>337</v>
      </c>
      <c r="AE10" s="73" t="s">
        <v>285</v>
      </c>
      <c r="AH10" s="74" t="str">
        <f t="shared" si="1"/>
        <v>LA755 GRU SCL</v>
      </c>
      <c r="AI10" s="75">
        <f t="shared" si="2"/>
        <v>45678</v>
      </c>
      <c r="AJ10" s="76" t="str">
        <f t="shared" si="3"/>
        <v>20:20 00:40+1</v>
      </c>
      <c r="AK10" s="50" t="s">
        <v>351</v>
      </c>
      <c r="AL10" s="41">
        <v>45679</v>
      </c>
      <c r="AM10" s="51" t="s">
        <v>361</v>
      </c>
      <c r="AN10" s="55" t="s">
        <v>157</v>
      </c>
      <c r="AO10" s="5">
        <v>45680</v>
      </c>
      <c r="AP10" s="78" t="s">
        <v>158</v>
      </c>
      <c r="AQ10" s="39" t="s">
        <v>123</v>
      </c>
      <c r="AR10" s="39" t="s">
        <v>124</v>
      </c>
      <c r="AS10" s="39" t="s">
        <v>125</v>
      </c>
      <c r="AT10" s="39" t="s">
        <v>126</v>
      </c>
      <c r="AU10" s="39" t="s">
        <v>127</v>
      </c>
      <c r="AV10" s="39" t="s">
        <v>128</v>
      </c>
      <c r="AW10" s="4">
        <v>3</v>
      </c>
      <c r="AX10" s="79" t="s">
        <v>369</v>
      </c>
      <c r="AY10" s="5">
        <v>45679</v>
      </c>
      <c r="AZ10" s="5">
        <v>45680</v>
      </c>
      <c r="BA10" s="1" t="s">
        <v>366</v>
      </c>
      <c r="BB10" s="1" t="s">
        <v>469</v>
      </c>
      <c r="BC10" s="79" t="s">
        <v>143</v>
      </c>
      <c r="BD10" s="41"/>
      <c r="BE10" s="41"/>
      <c r="BG10" s="1" t="s">
        <v>143</v>
      </c>
      <c r="BH10" s="80" t="s">
        <v>143</v>
      </c>
      <c r="BI10" s="5"/>
      <c r="BJ10" s="5"/>
      <c r="BL10" s="1" t="s">
        <v>143</v>
      </c>
      <c r="BM10" s="80" t="s">
        <v>135</v>
      </c>
      <c r="BN10" s="39" t="s">
        <v>371</v>
      </c>
      <c r="BO10" s="39" t="s">
        <v>135</v>
      </c>
      <c r="BP10" s="39" t="s">
        <v>372</v>
      </c>
      <c r="BQ10" s="41">
        <f t="shared" si="4"/>
        <v>45679</v>
      </c>
      <c r="BR10" s="43" t="str">
        <f t="shared" si="5"/>
        <v>09:48</v>
      </c>
      <c r="BS10" s="80" t="s">
        <v>135</v>
      </c>
      <c r="BT10" s="1" t="s">
        <v>372</v>
      </c>
      <c r="BU10" s="1" t="s">
        <v>135</v>
      </c>
      <c r="BV10" s="9" t="s">
        <v>371</v>
      </c>
      <c r="BW10" s="41">
        <f t="shared" si="6"/>
        <v>45680</v>
      </c>
      <c r="BX10" s="43">
        <v>0.33333333333333331</v>
      </c>
      <c r="BY10" s="80" t="s">
        <v>374</v>
      </c>
      <c r="BZ10" s="41" t="s">
        <v>371</v>
      </c>
      <c r="CA10" s="38" t="s">
        <v>374</v>
      </c>
      <c r="CB10" s="38" t="s">
        <v>373</v>
      </c>
      <c r="CC10" s="41">
        <v>45680</v>
      </c>
      <c r="CD10" s="43">
        <v>0.38541666666666669</v>
      </c>
      <c r="CE10" s="80" t="s">
        <v>143</v>
      </c>
      <c r="CJ10" s="43"/>
    </row>
    <row r="11" spans="1:107" ht="11.25" customHeight="1" x14ac:dyDescent="0.3">
      <c r="A11" s="38" t="s">
        <v>140</v>
      </c>
      <c r="B11" s="1" t="s">
        <v>108</v>
      </c>
      <c r="C11" s="2" t="s">
        <v>154</v>
      </c>
      <c r="E11" s="41">
        <v>45680</v>
      </c>
      <c r="F11" s="41">
        <v>45680</v>
      </c>
      <c r="G11" s="39" t="s">
        <v>111</v>
      </c>
      <c r="H11" s="39" t="s">
        <v>141</v>
      </c>
      <c r="I11" s="39" t="s">
        <v>113</v>
      </c>
      <c r="J11" s="39" t="s">
        <v>113</v>
      </c>
      <c r="K11" s="2" t="s">
        <v>194</v>
      </c>
      <c r="L11" s="57" t="s">
        <v>195</v>
      </c>
      <c r="M11" s="38" t="s">
        <v>176</v>
      </c>
      <c r="N11" s="60" t="s">
        <v>224</v>
      </c>
      <c r="O11" s="2" t="s">
        <v>236</v>
      </c>
      <c r="P11" s="1" t="s">
        <v>256</v>
      </c>
      <c r="Q11" s="42">
        <v>35476</v>
      </c>
      <c r="R11" s="2" t="s">
        <v>276</v>
      </c>
      <c r="S11" s="2" t="s">
        <v>120</v>
      </c>
      <c r="V11" s="73" t="s">
        <v>287</v>
      </c>
      <c r="W11" s="5">
        <v>45677</v>
      </c>
      <c r="X11" s="49" t="s">
        <v>288</v>
      </c>
      <c r="Y11" s="73" t="s">
        <v>338</v>
      </c>
      <c r="Z11" s="5">
        <v>45678</v>
      </c>
      <c r="AA11" s="1" t="s">
        <v>339</v>
      </c>
      <c r="AB11" s="73" t="s">
        <v>326</v>
      </c>
      <c r="AC11" s="5">
        <v>45678</v>
      </c>
      <c r="AD11" s="1" t="s">
        <v>323</v>
      </c>
      <c r="AE11" s="73" t="s">
        <v>285</v>
      </c>
      <c r="AH11" s="74" t="str">
        <f t="shared" ref="AH11:AH24" si="7">AB11</f>
        <v>KL2258 CDG SCL</v>
      </c>
      <c r="AI11" s="75">
        <f t="shared" ref="AI11:AI24" si="8">AC11</f>
        <v>45678</v>
      </c>
      <c r="AJ11" s="76" t="str">
        <f t="shared" ref="AJ11:AJ24" si="9">AD11</f>
        <v>23:20 09:50+1</v>
      </c>
      <c r="AK11" s="50" t="s">
        <v>156</v>
      </c>
      <c r="AL11" s="41">
        <v>45679</v>
      </c>
      <c r="AM11" s="51" t="s">
        <v>360</v>
      </c>
      <c r="AN11" s="55" t="s">
        <v>157</v>
      </c>
      <c r="AO11" s="5">
        <v>45680</v>
      </c>
      <c r="AP11" s="78" t="s">
        <v>158</v>
      </c>
      <c r="AQ11" s="39" t="s">
        <v>123</v>
      </c>
      <c r="AR11" s="39" t="s">
        <v>124</v>
      </c>
      <c r="AS11" s="39" t="s">
        <v>125</v>
      </c>
      <c r="AT11" s="39" t="s">
        <v>126</v>
      </c>
      <c r="AU11" s="39" t="s">
        <v>127</v>
      </c>
      <c r="AV11" s="39" t="s">
        <v>128</v>
      </c>
      <c r="AW11" s="4">
        <v>3</v>
      </c>
      <c r="AX11" s="79" t="s">
        <v>369</v>
      </c>
      <c r="AY11" s="5">
        <v>45679</v>
      </c>
      <c r="AZ11" s="5">
        <v>45680</v>
      </c>
      <c r="BA11" s="1" t="s">
        <v>366</v>
      </c>
      <c r="BB11" s="1" t="s">
        <v>469</v>
      </c>
      <c r="BC11" s="79" t="s">
        <v>143</v>
      </c>
      <c r="BD11" s="41"/>
      <c r="BE11" s="41"/>
      <c r="BG11" s="1" t="s">
        <v>143</v>
      </c>
      <c r="BH11" s="80" t="s">
        <v>143</v>
      </c>
      <c r="BI11" s="5"/>
      <c r="BJ11" s="5"/>
      <c r="BL11" s="1" t="s">
        <v>143</v>
      </c>
      <c r="BM11" s="80" t="s">
        <v>135</v>
      </c>
      <c r="BN11" s="39" t="s">
        <v>371</v>
      </c>
      <c r="BO11" s="39" t="s">
        <v>135</v>
      </c>
      <c r="BP11" s="39" t="s">
        <v>372</v>
      </c>
      <c r="BQ11" s="41">
        <f t="shared" ref="BQ11:BQ22" si="10">AL11</f>
        <v>45679</v>
      </c>
      <c r="BR11" s="43" t="str">
        <f t="shared" ref="BR11:BR22" si="11">MID(AM11,7,8)</f>
        <v>20:07</v>
      </c>
      <c r="BS11" s="80" t="s">
        <v>135</v>
      </c>
      <c r="BT11" s="1" t="s">
        <v>372</v>
      </c>
      <c r="BU11" s="1" t="s">
        <v>135</v>
      </c>
      <c r="BV11" s="9" t="s">
        <v>371</v>
      </c>
      <c r="BW11" s="41">
        <f t="shared" ref="BW11:BW22" si="12">AZ11</f>
        <v>45680</v>
      </c>
      <c r="BX11" s="43">
        <v>0.33333333333333331</v>
      </c>
      <c r="BY11" s="80" t="s">
        <v>374</v>
      </c>
      <c r="BZ11" s="41" t="s">
        <v>371</v>
      </c>
      <c r="CA11" s="38" t="s">
        <v>374</v>
      </c>
      <c r="CB11" s="38" t="s">
        <v>373</v>
      </c>
      <c r="CC11" s="41">
        <v>45680</v>
      </c>
      <c r="CD11" s="43">
        <v>0.38541666666666669</v>
      </c>
      <c r="CE11" s="80" t="s">
        <v>143</v>
      </c>
      <c r="CJ11" s="43"/>
    </row>
    <row r="12" spans="1:107" ht="11.25" customHeight="1" x14ac:dyDescent="0.3">
      <c r="A12" s="38" t="s">
        <v>140</v>
      </c>
      <c r="B12" s="1" t="s">
        <v>108</v>
      </c>
      <c r="C12" s="2" t="s">
        <v>154</v>
      </c>
      <c r="E12" s="41">
        <v>45680</v>
      </c>
      <c r="F12" s="41">
        <v>45680</v>
      </c>
      <c r="G12" s="39" t="s">
        <v>111</v>
      </c>
      <c r="H12" s="39" t="s">
        <v>141</v>
      </c>
      <c r="I12" s="39" t="s">
        <v>113</v>
      </c>
      <c r="J12" s="39" t="s">
        <v>113</v>
      </c>
      <c r="K12" s="2" t="s">
        <v>196</v>
      </c>
      <c r="L12" s="57" t="s">
        <v>197</v>
      </c>
      <c r="M12" s="38" t="s">
        <v>176</v>
      </c>
      <c r="N12" s="60" t="s">
        <v>148</v>
      </c>
      <c r="O12" s="2" t="s">
        <v>240</v>
      </c>
      <c r="P12" s="1" t="s">
        <v>257</v>
      </c>
      <c r="Q12" s="42">
        <v>35440</v>
      </c>
      <c r="R12" s="2" t="s">
        <v>280</v>
      </c>
      <c r="S12" s="2" t="s">
        <v>120</v>
      </c>
      <c r="V12" s="73" t="s">
        <v>304</v>
      </c>
      <c r="W12" s="53">
        <v>45678</v>
      </c>
      <c r="X12" s="48" t="s">
        <v>305</v>
      </c>
      <c r="Y12" s="73" t="s">
        <v>322</v>
      </c>
      <c r="Z12" s="53">
        <v>45678</v>
      </c>
      <c r="AA12" s="54" t="s">
        <v>323</v>
      </c>
      <c r="AB12" s="73" t="s">
        <v>143</v>
      </c>
      <c r="AE12" s="73" t="s">
        <v>285</v>
      </c>
      <c r="AH12" s="74" t="str">
        <f t="shared" si="7"/>
        <v>NO</v>
      </c>
      <c r="AI12" s="75"/>
      <c r="AJ12" s="76"/>
      <c r="AK12" s="50" t="s">
        <v>156</v>
      </c>
      <c r="AL12" s="41">
        <v>45679</v>
      </c>
      <c r="AM12" s="51" t="s">
        <v>360</v>
      </c>
      <c r="AN12" s="55" t="s">
        <v>157</v>
      </c>
      <c r="AO12" s="5">
        <v>45680</v>
      </c>
      <c r="AP12" s="78" t="s">
        <v>158</v>
      </c>
      <c r="AQ12" s="39" t="s">
        <v>123</v>
      </c>
      <c r="AR12" s="39" t="s">
        <v>124</v>
      </c>
      <c r="AS12" s="39" t="s">
        <v>125</v>
      </c>
      <c r="AT12" s="39" t="s">
        <v>126</v>
      </c>
      <c r="AU12" s="39" t="s">
        <v>127</v>
      </c>
      <c r="AV12" s="39" t="s">
        <v>128</v>
      </c>
      <c r="AW12" s="4">
        <v>2</v>
      </c>
      <c r="AX12" s="79" t="s">
        <v>369</v>
      </c>
      <c r="AY12" s="5">
        <v>45679</v>
      </c>
      <c r="AZ12" s="5">
        <v>45680</v>
      </c>
      <c r="BA12" s="1" t="s">
        <v>367</v>
      </c>
      <c r="BB12" s="1" t="s">
        <v>470</v>
      </c>
      <c r="BC12" s="79" t="s">
        <v>143</v>
      </c>
      <c r="BD12" s="41"/>
      <c r="BE12" s="41"/>
      <c r="BG12" s="1" t="s">
        <v>143</v>
      </c>
      <c r="BH12" s="80" t="s">
        <v>143</v>
      </c>
      <c r="BI12" s="5"/>
      <c r="BJ12" s="5"/>
      <c r="BL12" s="1" t="s">
        <v>143</v>
      </c>
      <c r="BM12" s="80" t="s">
        <v>135</v>
      </c>
      <c r="BN12" s="39" t="s">
        <v>371</v>
      </c>
      <c r="BO12" s="39" t="s">
        <v>135</v>
      </c>
      <c r="BP12" s="39" t="s">
        <v>372</v>
      </c>
      <c r="BQ12" s="41">
        <f t="shared" si="10"/>
        <v>45679</v>
      </c>
      <c r="BR12" s="43" t="str">
        <f t="shared" si="11"/>
        <v>20:07</v>
      </c>
      <c r="BS12" s="80" t="s">
        <v>135</v>
      </c>
      <c r="BT12" s="1" t="s">
        <v>372</v>
      </c>
      <c r="BU12" s="1" t="s">
        <v>135</v>
      </c>
      <c r="BV12" s="9" t="s">
        <v>371</v>
      </c>
      <c r="BW12" s="41">
        <f t="shared" si="12"/>
        <v>45680</v>
      </c>
      <c r="BX12" s="43">
        <v>0.33333333333333331</v>
      </c>
      <c r="BY12" s="80" t="s">
        <v>374</v>
      </c>
      <c r="BZ12" s="41" t="s">
        <v>371</v>
      </c>
      <c r="CA12" s="38" t="s">
        <v>374</v>
      </c>
      <c r="CB12" s="38" t="s">
        <v>373</v>
      </c>
      <c r="CC12" s="41">
        <v>45680</v>
      </c>
      <c r="CD12" s="43">
        <v>0.38541666666666669</v>
      </c>
      <c r="CE12" s="80" t="s">
        <v>143</v>
      </c>
      <c r="CJ12" s="43"/>
    </row>
    <row r="13" spans="1:107" ht="11.25" customHeight="1" x14ac:dyDescent="0.3">
      <c r="A13" s="38" t="s">
        <v>140</v>
      </c>
      <c r="B13" s="1" t="s">
        <v>108</v>
      </c>
      <c r="C13" s="2" t="s">
        <v>154</v>
      </c>
      <c r="E13" s="41">
        <v>45680</v>
      </c>
      <c r="F13" s="41">
        <v>45680</v>
      </c>
      <c r="G13" s="39" t="s">
        <v>111</v>
      </c>
      <c r="H13" s="39" t="s">
        <v>141</v>
      </c>
      <c r="I13" s="39" t="s">
        <v>113</v>
      </c>
      <c r="J13" s="39" t="s">
        <v>113</v>
      </c>
      <c r="K13" s="2" t="s">
        <v>198</v>
      </c>
      <c r="L13" s="57" t="s">
        <v>199</v>
      </c>
      <c r="M13" s="38" t="s">
        <v>176</v>
      </c>
      <c r="N13" s="60" t="s">
        <v>229</v>
      </c>
      <c r="O13" s="2" t="s">
        <v>246</v>
      </c>
      <c r="P13" s="1" t="s">
        <v>258</v>
      </c>
      <c r="Q13" s="42">
        <v>32043</v>
      </c>
      <c r="R13" s="2" t="s">
        <v>284</v>
      </c>
      <c r="S13" s="2" t="s">
        <v>120</v>
      </c>
      <c r="V13" s="73" t="s">
        <v>306</v>
      </c>
      <c r="W13" s="5">
        <v>45677</v>
      </c>
      <c r="X13" s="49" t="s">
        <v>307</v>
      </c>
      <c r="Y13" s="73" t="s">
        <v>340</v>
      </c>
      <c r="Z13" s="5">
        <v>45678</v>
      </c>
      <c r="AA13" s="1" t="s">
        <v>341</v>
      </c>
      <c r="AB13" s="73" t="s">
        <v>342</v>
      </c>
      <c r="AC13" s="5">
        <v>45679</v>
      </c>
      <c r="AD13" s="1" t="s">
        <v>343</v>
      </c>
      <c r="AE13" s="73" t="s">
        <v>285</v>
      </c>
      <c r="AH13" s="74" t="str">
        <f t="shared" si="7"/>
        <v>LA1103 JFK SCL</v>
      </c>
      <c r="AI13" s="75">
        <f t="shared" si="8"/>
        <v>45679</v>
      </c>
      <c r="AJ13" s="76" t="str">
        <f t="shared" si="9"/>
        <v>03:10 15:40</v>
      </c>
      <c r="AK13" s="50" t="s">
        <v>352</v>
      </c>
      <c r="AL13" s="41">
        <v>45679</v>
      </c>
      <c r="AM13" s="51" t="s">
        <v>362</v>
      </c>
      <c r="AN13" s="55" t="s">
        <v>157</v>
      </c>
      <c r="AO13" s="5">
        <v>45680</v>
      </c>
      <c r="AP13" s="78" t="s">
        <v>158</v>
      </c>
      <c r="AQ13" s="39" t="s">
        <v>123</v>
      </c>
      <c r="AR13" s="39" t="s">
        <v>124</v>
      </c>
      <c r="AS13" s="39" t="s">
        <v>125</v>
      </c>
      <c r="AT13" s="39" t="s">
        <v>126</v>
      </c>
      <c r="AU13" s="39" t="s">
        <v>127</v>
      </c>
      <c r="AV13" s="39" t="s">
        <v>128</v>
      </c>
      <c r="AW13" s="4">
        <v>3</v>
      </c>
      <c r="AX13" s="79" t="s">
        <v>369</v>
      </c>
      <c r="AY13" s="5">
        <v>45679</v>
      </c>
      <c r="AZ13" s="5">
        <v>45680</v>
      </c>
      <c r="BA13" s="1" t="s">
        <v>366</v>
      </c>
      <c r="BB13" s="1" t="s">
        <v>469</v>
      </c>
      <c r="BC13" s="79" t="s">
        <v>143</v>
      </c>
      <c r="BD13" s="41"/>
      <c r="BE13" s="41"/>
      <c r="BG13" s="1" t="s">
        <v>143</v>
      </c>
      <c r="BH13" s="80" t="s">
        <v>143</v>
      </c>
      <c r="BI13" s="5"/>
      <c r="BJ13" s="5"/>
      <c r="BL13" s="1" t="s">
        <v>143</v>
      </c>
      <c r="BM13" s="80" t="s">
        <v>135</v>
      </c>
      <c r="BN13" s="39" t="s">
        <v>371</v>
      </c>
      <c r="BO13" s="39" t="s">
        <v>135</v>
      </c>
      <c r="BP13" s="39" t="s">
        <v>372</v>
      </c>
      <c r="BQ13" s="41">
        <f t="shared" si="10"/>
        <v>45679</v>
      </c>
      <c r="BR13" s="43" t="str">
        <f t="shared" si="11"/>
        <v>23:17</v>
      </c>
      <c r="BS13" s="80" t="s">
        <v>135</v>
      </c>
      <c r="BT13" s="1" t="s">
        <v>372</v>
      </c>
      <c r="BU13" s="1" t="s">
        <v>135</v>
      </c>
      <c r="BV13" s="9" t="s">
        <v>371</v>
      </c>
      <c r="BW13" s="41">
        <f t="shared" si="12"/>
        <v>45680</v>
      </c>
      <c r="BX13" s="43">
        <v>0.33333333333333331</v>
      </c>
      <c r="BY13" s="80" t="s">
        <v>374</v>
      </c>
      <c r="BZ13" s="41" t="s">
        <v>371</v>
      </c>
      <c r="CA13" s="38" t="s">
        <v>374</v>
      </c>
      <c r="CB13" s="38" t="s">
        <v>373</v>
      </c>
      <c r="CC13" s="41">
        <v>45680</v>
      </c>
      <c r="CD13" s="43">
        <v>0.38541666666666669</v>
      </c>
      <c r="CE13" s="80" t="s">
        <v>143</v>
      </c>
      <c r="CJ13" s="43"/>
    </row>
    <row r="14" spans="1:107" ht="11.25" customHeight="1" x14ac:dyDescent="0.3">
      <c r="A14" s="38" t="s">
        <v>140</v>
      </c>
      <c r="B14" s="1" t="s">
        <v>108</v>
      </c>
      <c r="C14" s="2" t="s">
        <v>154</v>
      </c>
      <c r="E14" s="41">
        <v>45680</v>
      </c>
      <c r="F14" s="41">
        <v>45680</v>
      </c>
      <c r="G14" s="39" t="s">
        <v>111</v>
      </c>
      <c r="H14" s="39" t="s">
        <v>141</v>
      </c>
      <c r="I14" s="39" t="s">
        <v>113</v>
      </c>
      <c r="J14" s="39" t="s">
        <v>113</v>
      </c>
      <c r="K14" s="2" t="s">
        <v>200</v>
      </c>
      <c r="L14" s="57" t="s">
        <v>201</v>
      </c>
      <c r="M14" s="38" t="s">
        <v>176</v>
      </c>
      <c r="N14" s="60" t="s">
        <v>142</v>
      </c>
      <c r="O14" s="61" t="s">
        <v>245</v>
      </c>
      <c r="P14" s="1" t="s">
        <v>259</v>
      </c>
      <c r="Q14" s="42">
        <v>33949</v>
      </c>
      <c r="R14" s="2" t="s">
        <v>279</v>
      </c>
      <c r="S14" s="2" t="s">
        <v>120</v>
      </c>
      <c r="V14" s="73" t="s">
        <v>289</v>
      </c>
      <c r="W14" s="5">
        <v>45678</v>
      </c>
      <c r="X14" s="49" t="s">
        <v>290</v>
      </c>
      <c r="Y14" s="73" t="s">
        <v>149</v>
      </c>
      <c r="Z14" s="5">
        <v>45679</v>
      </c>
      <c r="AA14" s="1" t="s">
        <v>150</v>
      </c>
      <c r="AB14" s="73" t="s">
        <v>151</v>
      </c>
      <c r="AC14" s="5">
        <v>45679</v>
      </c>
      <c r="AD14" s="1" t="s">
        <v>325</v>
      </c>
      <c r="AE14" s="73" t="s">
        <v>285</v>
      </c>
      <c r="AH14" s="74" t="str">
        <f t="shared" si="7"/>
        <v>LA8036 GRU SCL</v>
      </c>
      <c r="AI14" s="75">
        <f t="shared" si="8"/>
        <v>45679</v>
      </c>
      <c r="AJ14" s="76" t="str">
        <f t="shared" si="9"/>
        <v>13:25 17:40</v>
      </c>
      <c r="AK14" s="50" t="s">
        <v>352</v>
      </c>
      <c r="AL14" s="41">
        <v>45679</v>
      </c>
      <c r="AM14" s="51" t="s">
        <v>362</v>
      </c>
      <c r="AN14" s="55" t="s">
        <v>157</v>
      </c>
      <c r="AO14" s="5">
        <v>45680</v>
      </c>
      <c r="AP14" s="78" t="s">
        <v>158</v>
      </c>
      <c r="AQ14" s="39" t="s">
        <v>123</v>
      </c>
      <c r="AR14" s="39" t="s">
        <v>124</v>
      </c>
      <c r="AS14" s="39" t="s">
        <v>125</v>
      </c>
      <c r="AT14" s="39" t="s">
        <v>126</v>
      </c>
      <c r="AU14" s="39" t="s">
        <v>127</v>
      </c>
      <c r="AV14" s="39" t="s">
        <v>128</v>
      </c>
      <c r="AW14" s="4">
        <v>3</v>
      </c>
      <c r="AX14" s="79" t="s">
        <v>369</v>
      </c>
      <c r="AY14" s="5">
        <v>45679</v>
      </c>
      <c r="AZ14" s="5">
        <v>45680</v>
      </c>
      <c r="BA14" s="1" t="s">
        <v>366</v>
      </c>
      <c r="BB14" s="1" t="s">
        <v>469</v>
      </c>
      <c r="BC14" s="79" t="s">
        <v>143</v>
      </c>
      <c r="BD14" s="41"/>
      <c r="BE14" s="41"/>
      <c r="BG14" s="1" t="s">
        <v>143</v>
      </c>
      <c r="BH14" s="80" t="s">
        <v>143</v>
      </c>
      <c r="BI14" s="5"/>
      <c r="BJ14" s="5"/>
      <c r="BL14" s="1" t="s">
        <v>143</v>
      </c>
      <c r="BM14" s="80" t="s">
        <v>135</v>
      </c>
      <c r="BN14" s="39" t="s">
        <v>371</v>
      </c>
      <c r="BO14" s="39" t="s">
        <v>135</v>
      </c>
      <c r="BP14" s="39" t="s">
        <v>372</v>
      </c>
      <c r="BQ14" s="41">
        <f t="shared" si="10"/>
        <v>45679</v>
      </c>
      <c r="BR14" s="43" t="str">
        <f t="shared" si="11"/>
        <v>23:17</v>
      </c>
      <c r="BS14" s="80" t="s">
        <v>135</v>
      </c>
      <c r="BT14" s="1" t="s">
        <v>372</v>
      </c>
      <c r="BU14" s="1" t="s">
        <v>135</v>
      </c>
      <c r="BV14" s="9" t="s">
        <v>371</v>
      </c>
      <c r="BW14" s="41">
        <f t="shared" si="12"/>
        <v>45680</v>
      </c>
      <c r="BX14" s="43">
        <v>0.33333333333333331</v>
      </c>
      <c r="BY14" s="80" t="s">
        <v>374</v>
      </c>
      <c r="BZ14" s="41" t="s">
        <v>371</v>
      </c>
      <c r="CA14" s="38" t="s">
        <v>374</v>
      </c>
      <c r="CB14" s="38" t="s">
        <v>373</v>
      </c>
      <c r="CC14" s="41">
        <v>45680</v>
      </c>
      <c r="CD14" s="43">
        <v>0.38541666666666669</v>
      </c>
      <c r="CE14" s="80" t="s">
        <v>143</v>
      </c>
      <c r="CJ14" s="43"/>
    </row>
    <row r="15" spans="1:107" ht="11.25" customHeight="1" x14ac:dyDescent="0.3">
      <c r="A15" s="38" t="s">
        <v>140</v>
      </c>
      <c r="B15" s="1" t="s">
        <v>108</v>
      </c>
      <c r="C15" s="2" t="s">
        <v>154</v>
      </c>
      <c r="E15" s="41">
        <v>45680</v>
      </c>
      <c r="F15" s="41">
        <v>45680</v>
      </c>
      <c r="G15" s="39" t="s">
        <v>111</v>
      </c>
      <c r="H15" s="39" t="s">
        <v>141</v>
      </c>
      <c r="I15" s="39" t="s">
        <v>113</v>
      </c>
      <c r="J15" s="39" t="s">
        <v>113</v>
      </c>
      <c r="K15" s="2" t="s">
        <v>202</v>
      </c>
      <c r="L15" s="57" t="s">
        <v>203</v>
      </c>
      <c r="M15" s="38" t="s">
        <v>368</v>
      </c>
      <c r="N15" s="60" t="s">
        <v>142</v>
      </c>
      <c r="O15" s="61" t="s">
        <v>153</v>
      </c>
      <c r="P15" s="1" t="s">
        <v>260</v>
      </c>
      <c r="Q15" s="42">
        <v>34084</v>
      </c>
      <c r="R15" s="2" t="s">
        <v>279</v>
      </c>
      <c r="S15" s="2" t="s">
        <v>120</v>
      </c>
      <c r="V15" s="73" t="s">
        <v>289</v>
      </c>
      <c r="W15" s="5">
        <v>45678</v>
      </c>
      <c r="X15" s="49" t="s">
        <v>290</v>
      </c>
      <c r="Y15" s="73" t="s">
        <v>149</v>
      </c>
      <c r="Z15" s="5">
        <v>45679</v>
      </c>
      <c r="AA15" s="1" t="s">
        <v>150</v>
      </c>
      <c r="AB15" s="73" t="s">
        <v>151</v>
      </c>
      <c r="AC15" s="5">
        <v>45679</v>
      </c>
      <c r="AD15" s="1" t="s">
        <v>325</v>
      </c>
      <c r="AE15" s="73" t="s">
        <v>285</v>
      </c>
      <c r="AH15" s="74" t="str">
        <f t="shared" si="7"/>
        <v>LA8036 GRU SCL</v>
      </c>
      <c r="AI15" s="75">
        <f t="shared" si="8"/>
        <v>45679</v>
      </c>
      <c r="AJ15" s="76" t="str">
        <f t="shared" si="9"/>
        <v>13:25 17:40</v>
      </c>
      <c r="AK15" s="50" t="s">
        <v>352</v>
      </c>
      <c r="AL15" s="41">
        <v>45679</v>
      </c>
      <c r="AM15" s="51" t="s">
        <v>362</v>
      </c>
      <c r="AN15" s="55" t="s">
        <v>157</v>
      </c>
      <c r="AO15" s="5">
        <v>45680</v>
      </c>
      <c r="AP15" s="78" t="s">
        <v>158</v>
      </c>
      <c r="AQ15" s="39" t="s">
        <v>123</v>
      </c>
      <c r="AR15" s="39" t="s">
        <v>124</v>
      </c>
      <c r="AS15" s="39" t="s">
        <v>125</v>
      </c>
      <c r="AT15" s="39" t="s">
        <v>126</v>
      </c>
      <c r="AU15" s="39" t="s">
        <v>127</v>
      </c>
      <c r="AV15" s="39" t="s">
        <v>128</v>
      </c>
      <c r="AW15" s="4">
        <v>3</v>
      </c>
      <c r="AX15" s="79" t="s">
        <v>369</v>
      </c>
      <c r="AY15" s="5">
        <v>45679</v>
      </c>
      <c r="AZ15" s="5">
        <v>45680</v>
      </c>
      <c r="BA15" s="1" t="s">
        <v>366</v>
      </c>
      <c r="BB15" s="1" t="s">
        <v>468</v>
      </c>
      <c r="BC15" s="79" t="s">
        <v>143</v>
      </c>
      <c r="BD15" s="41"/>
      <c r="BE15" s="41"/>
      <c r="BG15" s="1" t="s">
        <v>143</v>
      </c>
      <c r="BH15" s="80" t="s">
        <v>143</v>
      </c>
      <c r="BI15" s="5"/>
      <c r="BJ15" s="5"/>
      <c r="BL15" s="1" t="s">
        <v>143</v>
      </c>
      <c r="BM15" s="80" t="s">
        <v>135</v>
      </c>
      <c r="BN15" s="39" t="s">
        <v>371</v>
      </c>
      <c r="BO15" s="39" t="s">
        <v>135</v>
      </c>
      <c r="BP15" s="39" t="s">
        <v>372</v>
      </c>
      <c r="BQ15" s="41">
        <f t="shared" si="10"/>
        <v>45679</v>
      </c>
      <c r="BR15" s="43" t="str">
        <f t="shared" si="11"/>
        <v>23:17</v>
      </c>
      <c r="BS15" s="80" t="s">
        <v>135</v>
      </c>
      <c r="BT15" s="1" t="s">
        <v>372</v>
      </c>
      <c r="BU15" s="1" t="s">
        <v>135</v>
      </c>
      <c r="BV15" s="9" t="s">
        <v>371</v>
      </c>
      <c r="BW15" s="41">
        <f t="shared" si="12"/>
        <v>45680</v>
      </c>
      <c r="BX15" s="43">
        <v>0.33333333333333331</v>
      </c>
      <c r="BY15" s="80" t="s">
        <v>374</v>
      </c>
      <c r="BZ15" s="41" t="s">
        <v>371</v>
      </c>
      <c r="CA15" s="38" t="s">
        <v>374</v>
      </c>
      <c r="CB15" s="38" t="s">
        <v>373</v>
      </c>
      <c r="CC15" s="41">
        <v>45680</v>
      </c>
      <c r="CD15" s="43">
        <v>0.38541666666666669</v>
      </c>
      <c r="CE15" s="80" t="s">
        <v>143</v>
      </c>
      <c r="CJ15" s="43"/>
    </row>
    <row r="16" spans="1:107" ht="11.25" customHeight="1" x14ac:dyDescent="0.3">
      <c r="A16" s="38" t="s">
        <v>140</v>
      </c>
      <c r="B16" s="1" t="s">
        <v>108</v>
      </c>
      <c r="C16" s="2" t="s">
        <v>154</v>
      </c>
      <c r="E16" s="41">
        <v>45680</v>
      </c>
      <c r="F16" s="41">
        <v>45680</v>
      </c>
      <c r="G16" s="39" t="s">
        <v>111</v>
      </c>
      <c r="H16" s="39" t="s">
        <v>141</v>
      </c>
      <c r="I16" s="39" t="s">
        <v>113</v>
      </c>
      <c r="J16" s="39" t="s">
        <v>113</v>
      </c>
      <c r="K16" s="2" t="s">
        <v>204</v>
      </c>
      <c r="L16" s="57" t="s">
        <v>205</v>
      </c>
      <c r="M16" s="38" t="s">
        <v>176</v>
      </c>
      <c r="N16" s="60" t="s">
        <v>142</v>
      </c>
      <c r="O16" s="61" t="s">
        <v>147</v>
      </c>
      <c r="P16" s="1" t="s">
        <v>261</v>
      </c>
      <c r="Q16" s="42">
        <v>32651</v>
      </c>
      <c r="R16" s="2" t="s">
        <v>279</v>
      </c>
      <c r="S16" s="2" t="s">
        <v>120</v>
      </c>
      <c r="V16" s="73" t="s">
        <v>289</v>
      </c>
      <c r="W16" s="5">
        <v>45678</v>
      </c>
      <c r="X16" s="49" t="s">
        <v>290</v>
      </c>
      <c r="Y16" s="73" t="s">
        <v>149</v>
      </c>
      <c r="Z16" s="5">
        <v>45679</v>
      </c>
      <c r="AA16" s="1" t="s">
        <v>150</v>
      </c>
      <c r="AB16" s="73" t="s">
        <v>151</v>
      </c>
      <c r="AC16" s="5">
        <v>45679</v>
      </c>
      <c r="AD16" s="1" t="s">
        <v>325</v>
      </c>
      <c r="AE16" s="73" t="s">
        <v>285</v>
      </c>
      <c r="AH16" s="74" t="str">
        <f t="shared" si="7"/>
        <v>LA8036 GRU SCL</v>
      </c>
      <c r="AI16" s="75">
        <f t="shared" si="8"/>
        <v>45679</v>
      </c>
      <c r="AJ16" s="76" t="str">
        <f t="shared" si="9"/>
        <v>13:25 17:40</v>
      </c>
      <c r="AK16" s="50" t="s">
        <v>352</v>
      </c>
      <c r="AL16" s="41">
        <v>45679</v>
      </c>
      <c r="AM16" s="51" t="s">
        <v>362</v>
      </c>
      <c r="AN16" s="55" t="s">
        <v>157</v>
      </c>
      <c r="AO16" s="5">
        <v>45680</v>
      </c>
      <c r="AP16" s="78" t="s">
        <v>158</v>
      </c>
      <c r="AQ16" s="39" t="s">
        <v>123</v>
      </c>
      <c r="AR16" s="39" t="s">
        <v>124</v>
      </c>
      <c r="AS16" s="39" t="s">
        <v>125</v>
      </c>
      <c r="AT16" s="39" t="s">
        <v>126</v>
      </c>
      <c r="AU16" s="39" t="s">
        <v>127</v>
      </c>
      <c r="AV16" s="39" t="s">
        <v>128</v>
      </c>
      <c r="AW16" s="4">
        <v>3</v>
      </c>
      <c r="AX16" s="79" t="s">
        <v>369</v>
      </c>
      <c r="AY16" s="5">
        <v>45679</v>
      </c>
      <c r="AZ16" s="5">
        <v>45680</v>
      </c>
      <c r="BA16" s="1" t="s">
        <v>366</v>
      </c>
      <c r="BB16" s="1" t="s">
        <v>468</v>
      </c>
      <c r="BC16" s="79" t="s">
        <v>143</v>
      </c>
      <c r="BD16" s="41"/>
      <c r="BE16" s="41"/>
      <c r="BG16" s="1" t="s">
        <v>143</v>
      </c>
      <c r="BH16" s="80" t="s">
        <v>143</v>
      </c>
      <c r="BI16" s="5"/>
      <c r="BJ16" s="5"/>
      <c r="BL16" s="1" t="s">
        <v>143</v>
      </c>
      <c r="BM16" s="80" t="s">
        <v>135</v>
      </c>
      <c r="BN16" s="39" t="s">
        <v>371</v>
      </c>
      <c r="BO16" s="39" t="s">
        <v>135</v>
      </c>
      <c r="BP16" s="39" t="s">
        <v>372</v>
      </c>
      <c r="BQ16" s="41">
        <f t="shared" si="10"/>
        <v>45679</v>
      </c>
      <c r="BR16" s="43" t="str">
        <f t="shared" si="11"/>
        <v>23:17</v>
      </c>
      <c r="BS16" s="80" t="s">
        <v>135</v>
      </c>
      <c r="BT16" s="1" t="s">
        <v>372</v>
      </c>
      <c r="BU16" s="1" t="s">
        <v>135</v>
      </c>
      <c r="BV16" s="9" t="s">
        <v>371</v>
      </c>
      <c r="BW16" s="41">
        <f t="shared" si="12"/>
        <v>45680</v>
      </c>
      <c r="BX16" s="43">
        <v>0.33333333333333331</v>
      </c>
      <c r="BY16" s="80" t="s">
        <v>374</v>
      </c>
      <c r="BZ16" s="41" t="s">
        <v>371</v>
      </c>
      <c r="CA16" s="38" t="s">
        <v>374</v>
      </c>
      <c r="CB16" s="38" t="s">
        <v>373</v>
      </c>
      <c r="CC16" s="41">
        <v>45680</v>
      </c>
      <c r="CD16" s="43">
        <v>0.38541666666666669</v>
      </c>
      <c r="CE16" s="80" t="s">
        <v>143</v>
      </c>
      <c r="CJ16" s="43"/>
    </row>
    <row r="17" spans="1:88" ht="11.25" customHeight="1" x14ac:dyDescent="0.3">
      <c r="A17" s="38" t="s">
        <v>140</v>
      </c>
      <c r="B17" s="1" t="s">
        <v>108</v>
      </c>
      <c r="C17" s="2" t="s">
        <v>154</v>
      </c>
      <c r="E17" s="41">
        <v>45680</v>
      </c>
      <c r="F17" s="41">
        <v>45680</v>
      </c>
      <c r="G17" s="39" t="s">
        <v>111</v>
      </c>
      <c r="H17" s="39" t="s">
        <v>141</v>
      </c>
      <c r="I17" s="39" t="s">
        <v>113</v>
      </c>
      <c r="J17" s="39" t="s">
        <v>113</v>
      </c>
      <c r="K17" s="2" t="s">
        <v>206</v>
      </c>
      <c r="L17" s="57" t="s">
        <v>207</v>
      </c>
      <c r="M17" s="38" t="s">
        <v>368</v>
      </c>
      <c r="N17" s="60" t="s">
        <v>142</v>
      </c>
      <c r="O17" s="61" t="s">
        <v>160</v>
      </c>
      <c r="P17" s="1" t="s">
        <v>262</v>
      </c>
      <c r="Q17" s="42">
        <v>36260</v>
      </c>
      <c r="R17" s="2" t="s">
        <v>279</v>
      </c>
      <c r="S17" s="2" t="s">
        <v>120</v>
      </c>
      <c r="V17" s="73" t="s">
        <v>289</v>
      </c>
      <c r="W17" s="5">
        <v>45678</v>
      </c>
      <c r="X17" s="49" t="s">
        <v>290</v>
      </c>
      <c r="Y17" s="73" t="s">
        <v>149</v>
      </c>
      <c r="Z17" s="5">
        <v>45679</v>
      </c>
      <c r="AA17" s="1" t="s">
        <v>150</v>
      </c>
      <c r="AB17" s="73" t="s">
        <v>151</v>
      </c>
      <c r="AC17" s="5">
        <v>45679</v>
      </c>
      <c r="AD17" s="1" t="s">
        <v>325</v>
      </c>
      <c r="AE17" s="73" t="s">
        <v>285</v>
      </c>
      <c r="AH17" s="74" t="str">
        <f t="shared" si="7"/>
        <v>LA8036 GRU SCL</v>
      </c>
      <c r="AI17" s="75">
        <f t="shared" si="8"/>
        <v>45679</v>
      </c>
      <c r="AJ17" s="76" t="str">
        <f t="shared" si="9"/>
        <v>13:25 17:40</v>
      </c>
      <c r="AK17" s="50" t="s">
        <v>352</v>
      </c>
      <c r="AL17" s="41">
        <v>45679</v>
      </c>
      <c r="AM17" s="51" t="s">
        <v>362</v>
      </c>
      <c r="AN17" s="55" t="s">
        <v>157</v>
      </c>
      <c r="AO17" s="5">
        <v>45680</v>
      </c>
      <c r="AP17" s="78" t="s">
        <v>158</v>
      </c>
      <c r="AQ17" s="39" t="s">
        <v>123</v>
      </c>
      <c r="AR17" s="39" t="s">
        <v>124</v>
      </c>
      <c r="AS17" s="39" t="s">
        <v>125</v>
      </c>
      <c r="AT17" s="39" t="s">
        <v>126</v>
      </c>
      <c r="AU17" s="39" t="s">
        <v>127</v>
      </c>
      <c r="AV17" s="39" t="s">
        <v>128</v>
      </c>
      <c r="AW17" s="4">
        <v>3</v>
      </c>
      <c r="AX17" s="79" t="s">
        <v>369</v>
      </c>
      <c r="AY17" s="5">
        <v>45679</v>
      </c>
      <c r="AZ17" s="5">
        <v>45680</v>
      </c>
      <c r="BA17" s="1" t="s">
        <v>366</v>
      </c>
      <c r="BB17" s="1" t="s">
        <v>468</v>
      </c>
      <c r="BC17" s="79" t="s">
        <v>143</v>
      </c>
      <c r="BD17" s="41"/>
      <c r="BE17" s="41"/>
      <c r="BG17" s="1" t="s">
        <v>143</v>
      </c>
      <c r="BH17" s="80" t="s">
        <v>143</v>
      </c>
      <c r="BI17" s="5"/>
      <c r="BJ17" s="5"/>
      <c r="BL17" s="1" t="s">
        <v>143</v>
      </c>
      <c r="BM17" s="80" t="s">
        <v>135</v>
      </c>
      <c r="BN17" s="39" t="s">
        <v>371</v>
      </c>
      <c r="BO17" s="39" t="s">
        <v>135</v>
      </c>
      <c r="BP17" s="39" t="s">
        <v>372</v>
      </c>
      <c r="BQ17" s="41">
        <f t="shared" si="10"/>
        <v>45679</v>
      </c>
      <c r="BR17" s="43" t="str">
        <f t="shared" si="11"/>
        <v>23:17</v>
      </c>
      <c r="BS17" s="80" t="s">
        <v>135</v>
      </c>
      <c r="BT17" s="1" t="s">
        <v>372</v>
      </c>
      <c r="BU17" s="1" t="s">
        <v>135</v>
      </c>
      <c r="BV17" s="9" t="s">
        <v>371</v>
      </c>
      <c r="BW17" s="41">
        <f t="shared" si="12"/>
        <v>45680</v>
      </c>
      <c r="BX17" s="43">
        <v>0.33333333333333331</v>
      </c>
      <c r="BY17" s="80" t="s">
        <v>374</v>
      </c>
      <c r="BZ17" s="41" t="s">
        <v>371</v>
      </c>
      <c r="CA17" s="38" t="s">
        <v>374</v>
      </c>
      <c r="CB17" s="38" t="s">
        <v>373</v>
      </c>
      <c r="CC17" s="41">
        <v>45680</v>
      </c>
      <c r="CD17" s="43">
        <v>0.38541666666666669</v>
      </c>
      <c r="CE17" s="80" t="s">
        <v>143</v>
      </c>
      <c r="CJ17" s="43"/>
    </row>
    <row r="18" spans="1:88" ht="11.25" customHeight="1" x14ac:dyDescent="0.3">
      <c r="A18" s="38" t="s">
        <v>140</v>
      </c>
      <c r="B18" s="1" t="s">
        <v>108</v>
      </c>
      <c r="C18" s="2" t="s">
        <v>154</v>
      </c>
      <c r="E18" s="41">
        <v>45680</v>
      </c>
      <c r="F18" s="41">
        <v>45680</v>
      </c>
      <c r="G18" s="39" t="s">
        <v>111</v>
      </c>
      <c r="H18" s="39" t="s">
        <v>141</v>
      </c>
      <c r="I18" s="39" t="s">
        <v>113</v>
      </c>
      <c r="J18" s="39" t="s">
        <v>113</v>
      </c>
      <c r="K18" s="2" t="s">
        <v>208</v>
      </c>
      <c r="L18" s="57" t="s">
        <v>209</v>
      </c>
      <c r="M18" s="38" t="s">
        <v>176</v>
      </c>
      <c r="N18" s="60" t="s">
        <v>142</v>
      </c>
      <c r="O18" s="61" t="s">
        <v>155</v>
      </c>
      <c r="P18" s="1" t="s">
        <v>263</v>
      </c>
      <c r="Q18" s="42">
        <v>27871</v>
      </c>
      <c r="R18" s="2" t="s">
        <v>279</v>
      </c>
      <c r="S18" s="2" t="s">
        <v>120</v>
      </c>
      <c r="V18" s="73" t="s">
        <v>289</v>
      </c>
      <c r="W18" s="5">
        <v>45678</v>
      </c>
      <c r="X18" s="49" t="s">
        <v>290</v>
      </c>
      <c r="Y18" s="73" t="s">
        <v>149</v>
      </c>
      <c r="Z18" s="5">
        <v>45679</v>
      </c>
      <c r="AA18" s="1" t="s">
        <v>150</v>
      </c>
      <c r="AB18" s="73" t="s">
        <v>151</v>
      </c>
      <c r="AC18" s="5">
        <v>45679</v>
      </c>
      <c r="AD18" s="1" t="s">
        <v>325</v>
      </c>
      <c r="AE18" s="73" t="s">
        <v>285</v>
      </c>
      <c r="AH18" s="74" t="str">
        <f t="shared" si="7"/>
        <v>LA8036 GRU SCL</v>
      </c>
      <c r="AI18" s="75">
        <f t="shared" si="8"/>
        <v>45679</v>
      </c>
      <c r="AJ18" s="76" t="str">
        <f t="shared" si="9"/>
        <v>13:25 17:40</v>
      </c>
      <c r="AK18" s="50" t="s">
        <v>352</v>
      </c>
      <c r="AL18" s="41">
        <v>45679</v>
      </c>
      <c r="AM18" s="51" t="s">
        <v>362</v>
      </c>
      <c r="AN18" s="55" t="s">
        <v>157</v>
      </c>
      <c r="AO18" s="5">
        <v>45680</v>
      </c>
      <c r="AP18" s="78" t="s">
        <v>158</v>
      </c>
      <c r="AQ18" s="39" t="s">
        <v>123</v>
      </c>
      <c r="AR18" s="39" t="s">
        <v>124</v>
      </c>
      <c r="AS18" s="39" t="s">
        <v>125</v>
      </c>
      <c r="AT18" s="39" t="s">
        <v>126</v>
      </c>
      <c r="AU18" s="39" t="s">
        <v>127</v>
      </c>
      <c r="AV18" s="39" t="s">
        <v>128</v>
      </c>
      <c r="AW18" s="4">
        <v>3</v>
      </c>
      <c r="AX18" s="79" t="s">
        <v>369</v>
      </c>
      <c r="AY18" s="5">
        <v>45679</v>
      </c>
      <c r="AZ18" s="5">
        <v>45680</v>
      </c>
      <c r="BA18" s="1" t="s">
        <v>366</v>
      </c>
      <c r="BB18" s="1" t="s">
        <v>468</v>
      </c>
      <c r="BC18" s="79" t="s">
        <v>143</v>
      </c>
      <c r="BD18" s="41"/>
      <c r="BE18" s="41"/>
      <c r="BG18" s="1" t="s">
        <v>143</v>
      </c>
      <c r="BH18" s="80" t="s">
        <v>143</v>
      </c>
      <c r="BI18" s="5"/>
      <c r="BJ18" s="5"/>
      <c r="BL18" s="1" t="s">
        <v>143</v>
      </c>
      <c r="BM18" s="80" t="s">
        <v>135</v>
      </c>
      <c r="BN18" s="39" t="s">
        <v>371</v>
      </c>
      <c r="BO18" s="39" t="s">
        <v>135</v>
      </c>
      <c r="BP18" s="39" t="s">
        <v>372</v>
      </c>
      <c r="BQ18" s="41">
        <f t="shared" si="10"/>
        <v>45679</v>
      </c>
      <c r="BR18" s="43" t="str">
        <f t="shared" si="11"/>
        <v>23:17</v>
      </c>
      <c r="BS18" s="80" t="s">
        <v>135</v>
      </c>
      <c r="BT18" s="1" t="s">
        <v>372</v>
      </c>
      <c r="BU18" s="1" t="s">
        <v>135</v>
      </c>
      <c r="BV18" s="9" t="s">
        <v>371</v>
      </c>
      <c r="BW18" s="41">
        <f t="shared" si="12"/>
        <v>45680</v>
      </c>
      <c r="BX18" s="43">
        <v>0.33333333333333331</v>
      </c>
      <c r="BY18" s="80" t="s">
        <v>374</v>
      </c>
      <c r="BZ18" s="41" t="s">
        <v>371</v>
      </c>
      <c r="CA18" s="38" t="s">
        <v>374</v>
      </c>
      <c r="CB18" s="38" t="s">
        <v>373</v>
      </c>
      <c r="CC18" s="41">
        <v>45680</v>
      </c>
      <c r="CD18" s="43">
        <v>0.38541666666666669</v>
      </c>
      <c r="CE18" s="80" t="s">
        <v>143</v>
      </c>
      <c r="CJ18" s="43"/>
    </row>
    <row r="19" spans="1:88" ht="11.25" customHeight="1" x14ac:dyDescent="0.3">
      <c r="A19" s="38" t="s">
        <v>140</v>
      </c>
      <c r="B19" s="1" t="s">
        <v>108</v>
      </c>
      <c r="C19" s="2" t="s">
        <v>154</v>
      </c>
      <c r="E19" s="41">
        <v>45680</v>
      </c>
      <c r="F19" s="41">
        <v>45680</v>
      </c>
      <c r="G19" s="39" t="s">
        <v>111</v>
      </c>
      <c r="H19" s="39" t="s">
        <v>141</v>
      </c>
      <c r="I19" s="39" t="s">
        <v>113</v>
      </c>
      <c r="J19" s="39" t="s">
        <v>113</v>
      </c>
      <c r="K19" s="2" t="s">
        <v>210</v>
      </c>
      <c r="L19" s="57" t="s">
        <v>211</v>
      </c>
      <c r="M19" s="38" t="s">
        <v>176</v>
      </c>
      <c r="N19" s="60" t="s">
        <v>230</v>
      </c>
      <c r="O19" s="61" t="s">
        <v>264</v>
      </c>
      <c r="P19" s="1" t="s">
        <v>265</v>
      </c>
      <c r="Q19" s="42">
        <v>34856</v>
      </c>
      <c r="R19" s="2" t="s">
        <v>280</v>
      </c>
      <c r="S19" s="2" t="s">
        <v>120</v>
      </c>
      <c r="V19" s="73" t="s">
        <v>308</v>
      </c>
      <c r="W19" s="5">
        <v>45678</v>
      </c>
      <c r="X19" s="49" t="s">
        <v>309</v>
      </c>
      <c r="Y19" s="73" t="s">
        <v>322</v>
      </c>
      <c r="Z19" s="5">
        <v>45678</v>
      </c>
      <c r="AA19" s="1" t="s">
        <v>323</v>
      </c>
      <c r="AB19" s="73" t="s">
        <v>143</v>
      </c>
      <c r="AE19" s="73" t="s">
        <v>285</v>
      </c>
      <c r="AH19" s="74" t="str">
        <f t="shared" si="7"/>
        <v>NO</v>
      </c>
      <c r="AI19" s="75"/>
      <c r="AJ19" s="76"/>
      <c r="AK19" s="50" t="s">
        <v>156</v>
      </c>
      <c r="AL19" s="41">
        <v>45679</v>
      </c>
      <c r="AM19" s="51" t="s">
        <v>360</v>
      </c>
      <c r="AN19" s="55" t="s">
        <v>157</v>
      </c>
      <c r="AO19" s="5">
        <v>45680</v>
      </c>
      <c r="AP19" s="78" t="s">
        <v>158</v>
      </c>
      <c r="AQ19" s="39" t="s">
        <v>123</v>
      </c>
      <c r="AR19" s="39" t="s">
        <v>124</v>
      </c>
      <c r="AS19" s="39" t="s">
        <v>125</v>
      </c>
      <c r="AT19" s="39" t="s">
        <v>126</v>
      </c>
      <c r="AU19" s="39" t="s">
        <v>127</v>
      </c>
      <c r="AV19" s="39" t="s">
        <v>128</v>
      </c>
      <c r="AW19" s="4">
        <v>3</v>
      </c>
      <c r="AX19" s="79" t="s">
        <v>369</v>
      </c>
      <c r="AY19" s="5">
        <v>45679</v>
      </c>
      <c r="AZ19" s="5">
        <v>45680</v>
      </c>
      <c r="BA19" s="1" t="s">
        <v>366</v>
      </c>
      <c r="BB19" s="1" t="s">
        <v>469</v>
      </c>
      <c r="BC19" s="79" t="s">
        <v>143</v>
      </c>
      <c r="BD19" s="41"/>
      <c r="BE19" s="41"/>
      <c r="BG19" s="1" t="s">
        <v>143</v>
      </c>
      <c r="BH19" s="80" t="s">
        <v>143</v>
      </c>
      <c r="BI19" s="5"/>
      <c r="BJ19" s="5"/>
      <c r="BL19" s="1" t="s">
        <v>143</v>
      </c>
      <c r="BM19" s="80" t="s">
        <v>135</v>
      </c>
      <c r="BN19" s="39" t="s">
        <v>371</v>
      </c>
      <c r="BO19" s="39" t="s">
        <v>135</v>
      </c>
      <c r="BP19" s="39" t="s">
        <v>372</v>
      </c>
      <c r="BQ19" s="41">
        <f t="shared" si="10"/>
        <v>45679</v>
      </c>
      <c r="BR19" s="43" t="str">
        <f t="shared" si="11"/>
        <v>20:07</v>
      </c>
      <c r="BS19" s="80" t="s">
        <v>135</v>
      </c>
      <c r="BT19" s="1" t="s">
        <v>372</v>
      </c>
      <c r="BU19" s="1" t="s">
        <v>135</v>
      </c>
      <c r="BV19" s="9" t="s">
        <v>371</v>
      </c>
      <c r="BW19" s="41">
        <f t="shared" si="12"/>
        <v>45680</v>
      </c>
      <c r="BX19" s="43">
        <v>0.33333333333333331</v>
      </c>
      <c r="BY19" s="80" t="s">
        <v>374</v>
      </c>
      <c r="BZ19" s="41" t="s">
        <v>371</v>
      </c>
      <c r="CA19" s="38" t="s">
        <v>374</v>
      </c>
      <c r="CB19" s="38" t="s">
        <v>373</v>
      </c>
      <c r="CC19" s="41">
        <v>45680</v>
      </c>
      <c r="CD19" s="43">
        <v>0.38541666666666669</v>
      </c>
      <c r="CE19" s="80" t="s">
        <v>143</v>
      </c>
      <c r="CJ19" s="43"/>
    </row>
    <row r="20" spans="1:88" ht="11.25" customHeight="1" x14ac:dyDescent="0.3">
      <c r="A20" s="38" t="s">
        <v>140</v>
      </c>
      <c r="B20" s="1" t="s">
        <v>108</v>
      </c>
      <c r="C20" s="2" t="s">
        <v>154</v>
      </c>
      <c r="E20" s="41">
        <v>45680</v>
      </c>
      <c r="F20" s="41">
        <v>45680</v>
      </c>
      <c r="G20" s="39" t="s">
        <v>111</v>
      </c>
      <c r="H20" s="39" t="s">
        <v>141</v>
      </c>
      <c r="I20" s="39" t="s">
        <v>113</v>
      </c>
      <c r="J20" s="39" t="s">
        <v>113</v>
      </c>
      <c r="K20" s="2" t="s">
        <v>212</v>
      </c>
      <c r="L20" s="57" t="s">
        <v>213</v>
      </c>
      <c r="M20" s="38" t="s">
        <v>368</v>
      </c>
      <c r="N20" s="60" t="s">
        <v>231</v>
      </c>
      <c r="O20" s="61" t="s">
        <v>244</v>
      </c>
      <c r="P20" s="1" t="s">
        <v>266</v>
      </c>
      <c r="Q20" s="42">
        <v>34926</v>
      </c>
      <c r="R20" s="2" t="s">
        <v>277</v>
      </c>
      <c r="S20" s="2" t="s">
        <v>120</v>
      </c>
      <c r="V20" s="73" t="s">
        <v>310</v>
      </c>
      <c r="W20" s="5">
        <v>45678</v>
      </c>
      <c r="X20" s="49" t="s">
        <v>311</v>
      </c>
      <c r="Y20" s="73" t="s">
        <v>344</v>
      </c>
      <c r="Z20" s="5">
        <v>45678</v>
      </c>
      <c r="AA20" s="1" t="s">
        <v>345</v>
      </c>
      <c r="AB20" s="73" t="s">
        <v>320</v>
      </c>
      <c r="AC20" s="5">
        <v>45678</v>
      </c>
      <c r="AD20" s="1" t="s">
        <v>321</v>
      </c>
      <c r="AE20" s="73" t="s">
        <v>285</v>
      </c>
      <c r="AH20" s="74" t="str">
        <f t="shared" si="7"/>
        <v>DL147 ATL SCL</v>
      </c>
      <c r="AI20" s="75">
        <f t="shared" si="8"/>
        <v>45678</v>
      </c>
      <c r="AJ20" s="76" t="str">
        <f t="shared" si="9"/>
        <v>20:15 07:20+1</v>
      </c>
      <c r="AK20" s="50" t="s">
        <v>168</v>
      </c>
      <c r="AL20" s="41">
        <v>45679</v>
      </c>
      <c r="AM20" s="51" t="s">
        <v>359</v>
      </c>
      <c r="AN20" s="55" t="s">
        <v>157</v>
      </c>
      <c r="AO20" s="5">
        <v>45680</v>
      </c>
      <c r="AP20" s="78" t="s">
        <v>158</v>
      </c>
      <c r="AQ20" s="39" t="s">
        <v>123</v>
      </c>
      <c r="AR20" s="39" t="s">
        <v>124</v>
      </c>
      <c r="AS20" s="39" t="s">
        <v>125</v>
      </c>
      <c r="AT20" s="39" t="s">
        <v>126</v>
      </c>
      <c r="AU20" s="39" t="s">
        <v>127</v>
      </c>
      <c r="AV20" s="39" t="s">
        <v>128</v>
      </c>
      <c r="AW20" s="4">
        <v>2</v>
      </c>
      <c r="AX20" s="79" t="s">
        <v>369</v>
      </c>
      <c r="AY20" s="5">
        <v>45679</v>
      </c>
      <c r="AZ20" s="5">
        <v>45680</v>
      </c>
      <c r="BA20" s="1" t="s">
        <v>367</v>
      </c>
      <c r="BB20" s="1" t="s">
        <v>470</v>
      </c>
      <c r="BC20" s="79" t="s">
        <v>143</v>
      </c>
      <c r="BD20" s="41"/>
      <c r="BE20" s="41"/>
      <c r="BG20" s="1" t="s">
        <v>143</v>
      </c>
      <c r="BH20" s="80" t="s">
        <v>143</v>
      </c>
      <c r="BI20" s="5"/>
      <c r="BJ20" s="5"/>
      <c r="BL20" s="1" t="s">
        <v>143</v>
      </c>
      <c r="BM20" s="80" t="s">
        <v>135</v>
      </c>
      <c r="BN20" s="39" t="s">
        <v>371</v>
      </c>
      <c r="BO20" s="39" t="s">
        <v>135</v>
      </c>
      <c r="BP20" s="39" t="s">
        <v>372</v>
      </c>
      <c r="BQ20" s="41">
        <f t="shared" si="10"/>
        <v>45679</v>
      </c>
      <c r="BR20" s="43" t="str">
        <f t="shared" si="11"/>
        <v>17:41</v>
      </c>
      <c r="BS20" s="80" t="s">
        <v>135</v>
      </c>
      <c r="BT20" s="1" t="s">
        <v>372</v>
      </c>
      <c r="BU20" s="1" t="s">
        <v>135</v>
      </c>
      <c r="BV20" s="9" t="s">
        <v>371</v>
      </c>
      <c r="BW20" s="41">
        <f t="shared" si="12"/>
        <v>45680</v>
      </c>
      <c r="BX20" s="43">
        <v>0.33333333333333331</v>
      </c>
      <c r="BY20" s="80" t="s">
        <v>374</v>
      </c>
      <c r="BZ20" s="41" t="s">
        <v>371</v>
      </c>
      <c r="CA20" s="38" t="s">
        <v>374</v>
      </c>
      <c r="CB20" s="38" t="s">
        <v>373</v>
      </c>
      <c r="CC20" s="41">
        <v>45680</v>
      </c>
      <c r="CD20" s="43">
        <v>0.38541666666666669</v>
      </c>
      <c r="CE20" s="80" t="s">
        <v>143</v>
      </c>
      <c r="CJ20" s="43"/>
    </row>
    <row r="21" spans="1:88" ht="11.25" customHeight="1" x14ac:dyDescent="0.3">
      <c r="A21" s="38" t="s">
        <v>140</v>
      </c>
      <c r="B21" s="1" t="s">
        <v>108</v>
      </c>
      <c r="C21" s="2" t="s">
        <v>154</v>
      </c>
      <c r="E21" s="41">
        <v>45680</v>
      </c>
      <c r="F21" s="41">
        <v>45680</v>
      </c>
      <c r="G21" s="39" t="s">
        <v>111</v>
      </c>
      <c r="H21" s="39" t="s">
        <v>141</v>
      </c>
      <c r="I21" s="39" t="s">
        <v>113</v>
      </c>
      <c r="J21" s="39" t="s">
        <v>113</v>
      </c>
      <c r="K21" s="2" t="s">
        <v>214</v>
      </c>
      <c r="L21" s="57" t="s">
        <v>215</v>
      </c>
      <c r="M21" s="38" t="s">
        <v>176</v>
      </c>
      <c r="N21" s="60" t="s">
        <v>152</v>
      </c>
      <c r="O21" s="61" t="s">
        <v>144</v>
      </c>
      <c r="P21" s="1" t="s">
        <v>267</v>
      </c>
      <c r="Q21" s="42">
        <v>28376</v>
      </c>
      <c r="R21" s="2" t="s">
        <v>280</v>
      </c>
      <c r="S21" s="2" t="s">
        <v>120</v>
      </c>
      <c r="V21" s="73" t="s">
        <v>312</v>
      </c>
      <c r="W21" s="5">
        <v>45673</v>
      </c>
      <c r="X21" s="49" t="s">
        <v>313</v>
      </c>
      <c r="Y21" s="73" t="s">
        <v>322</v>
      </c>
      <c r="Z21" s="5">
        <v>45673</v>
      </c>
      <c r="AA21" s="1" t="s">
        <v>323</v>
      </c>
      <c r="AB21" s="73" t="s">
        <v>143</v>
      </c>
      <c r="AE21" s="73" t="s">
        <v>285</v>
      </c>
      <c r="AH21" s="74" t="str">
        <f t="shared" si="7"/>
        <v>NO</v>
      </c>
      <c r="AI21" s="75"/>
      <c r="AJ21" s="76"/>
      <c r="AK21" s="50" t="s">
        <v>350</v>
      </c>
      <c r="AL21" s="41">
        <v>45679</v>
      </c>
      <c r="AM21" s="51" t="s">
        <v>353</v>
      </c>
      <c r="AN21" s="55" t="s">
        <v>157</v>
      </c>
      <c r="AO21" s="5">
        <v>45680</v>
      </c>
      <c r="AP21" s="78" t="s">
        <v>158</v>
      </c>
      <c r="AQ21" s="39" t="s">
        <v>123</v>
      </c>
      <c r="AR21" s="39" t="s">
        <v>124</v>
      </c>
      <c r="AS21" s="39" t="s">
        <v>125</v>
      </c>
      <c r="AT21" s="39" t="s">
        <v>126</v>
      </c>
      <c r="AU21" s="39" t="s">
        <v>127</v>
      </c>
      <c r="AV21" s="39" t="s">
        <v>128</v>
      </c>
      <c r="AW21" s="4">
        <v>3</v>
      </c>
      <c r="AX21" s="79" t="s">
        <v>369</v>
      </c>
      <c r="AY21" s="5">
        <v>45679</v>
      </c>
      <c r="AZ21" s="5">
        <v>45680</v>
      </c>
      <c r="BA21" s="1" t="s">
        <v>366</v>
      </c>
      <c r="BB21" s="1" t="s">
        <v>469</v>
      </c>
      <c r="BC21" s="79" t="s">
        <v>143</v>
      </c>
      <c r="BD21" s="41"/>
      <c r="BE21" s="41"/>
      <c r="BG21" s="1" t="s">
        <v>143</v>
      </c>
      <c r="BH21" s="80" t="s">
        <v>143</v>
      </c>
      <c r="BI21" s="5"/>
      <c r="BJ21" s="5"/>
      <c r="BL21" s="1" t="s">
        <v>143</v>
      </c>
      <c r="BM21" s="80" t="s">
        <v>135</v>
      </c>
      <c r="BN21" s="39" t="s">
        <v>371</v>
      </c>
      <c r="BO21" s="39" t="s">
        <v>135</v>
      </c>
      <c r="BP21" s="39" t="s">
        <v>372</v>
      </c>
      <c r="BQ21" s="41">
        <f t="shared" si="10"/>
        <v>45679</v>
      </c>
      <c r="BR21" s="43" t="str">
        <f t="shared" si="11"/>
        <v>12:17</v>
      </c>
      <c r="BS21" s="80" t="s">
        <v>135</v>
      </c>
      <c r="BT21" s="1" t="s">
        <v>372</v>
      </c>
      <c r="BU21" s="1" t="s">
        <v>135</v>
      </c>
      <c r="BV21" s="9" t="s">
        <v>371</v>
      </c>
      <c r="BW21" s="41">
        <f t="shared" si="12"/>
        <v>45680</v>
      </c>
      <c r="BX21" s="43">
        <v>0.33333333333333331</v>
      </c>
      <c r="BY21" s="80" t="s">
        <v>374</v>
      </c>
      <c r="BZ21" s="41" t="s">
        <v>371</v>
      </c>
      <c r="CA21" s="38" t="s">
        <v>374</v>
      </c>
      <c r="CB21" s="38" t="s">
        <v>373</v>
      </c>
      <c r="CC21" s="41">
        <v>45680</v>
      </c>
      <c r="CD21" s="43">
        <v>0.38541666666666669</v>
      </c>
      <c r="CE21" s="80" t="s">
        <v>143</v>
      </c>
      <c r="CJ21" s="43"/>
    </row>
    <row r="22" spans="1:88" ht="11.25" customHeight="1" x14ac:dyDescent="0.3">
      <c r="A22" s="38" t="s">
        <v>140</v>
      </c>
      <c r="B22" s="1" t="s">
        <v>108</v>
      </c>
      <c r="C22" s="2" t="s">
        <v>154</v>
      </c>
      <c r="E22" s="41">
        <v>45680</v>
      </c>
      <c r="F22" s="41">
        <v>45680</v>
      </c>
      <c r="G22" s="39" t="s">
        <v>111</v>
      </c>
      <c r="H22" s="39" t="s">
        <v>141</v>
      </c>
      <c r="I22" s="39" t="s">
        <v>113</v>
      </c>
      <c r="J22" s="39" t="s">
        <v>113</v>
      </c>
      <c r="K22" s="2" t="s">
        <v>216</v>
      </c>
      <c r="L22" s="57" t="s">
        <v>217</v>
      </c>
      <c r="M22" s="38" t="s">
        <v>176</v>
      </c>
      <c r="N22" s="60" t="s">
        <v>232</v>
      </c>
      <c r="O22" s="61" t="s">
        <v>268</v>
      </c>
      <c r="P22" s="1" t="s">
        <v>269</v>
      </c>
      <c r="Q22" s="42">
        <v>33142</v>
      </c>
      <c r="R22" s="2" t="s">
        <v>281</v>
      </c>
      <c r="S22" s="2" t="s">
        <v>120</v>
      </c>
      <c r="V22" s="73" t="s">
        <v>314</v>
      </c>
      <c r="W22" s="5">
        <v>45678</v>
      </c>
      <c r="X22" s="49" t="s">
        <v>315</v>
      </c>
      <c r="Y22" s="73" t="s">
        <v>324</v>
      </c>
      <c r="Z22" s="5">
        <v>45678</v>
      </c>
      <c r="AA22" s="1" t="s">
        <v>161</v>
      </c>
      <c r="AB22" s="73" t="s">
        <v>162</v>
      </c>
      <c r="AC22" s="5">
        <v>45679</v>
      </c>
      <c r="AD22" s="1" t="s">
        <v>163</v>
      </c>
      <c r="AE22" s="73" t="s">
        <v>285</v>
      </c>
      <c r="AH22" s="74" t="str">
        <f t="shared" si="7"/>
        <v>LA8030 GRU SCL</v>
      </c>
      <c r="AI22" s="75">
        <f t="shared" si="8"/>
        <v>45679</v>
      </c>
      <c r="AJ22" s="76" t="str">
        <f t="shared" si="9"/>
        <v>01:00 05:25</v>
      </c>
      <c r="AK22" s="50" t="s">
        <v>156</v>
      </c>
      <c r="AL22" s="41">
        <v>45679</v>
      </c>
      <c r="AM22" s="51" t="s">
        <v>360</v>
      </c>
      <c r="AN22" s="55" t="s">
        <v>157</v>
      </c>
      <c r="AO22" s="5">
        <v>45680</v>
      </c>
      <c r="AP22" s="78" t="s">
        <v>158</v>
      </c>
      <c r="AQ22" s="39" t="s">
        <v>123</v>
      </c>
      <c r="AR22" s="39" t="s">
        <v>124</v>
      </c>
      <c r="AS22" s="39" t="s">
        <v>125</v>
      </c>
      <c r="AT22" s="39" t="s">
        <v>126</v>
      </c>
      <c r="AU22" s="39" t="s">
        <v>127</v>
      </c>
      <c r="AV22" s="39" t="s">
        <v>128</v>
      </c>
      <c r="AW22" s="4">
        <v>3</v>
      </c>
      <c r="AX22" s="79" t="s">
        <v>369</v>
      </c>
      <c r="AY22" s="5">
        <v>45679</v>
      </c>
      <c r="AZ22" s="5">
        <v>45680</v>
      </c>
      <c r="BA22" s="1" t="s">
        <v>366</v>
      </c>
      <c r="BB22" s="1" t="s">
        <v>469</v>
      </c>
      <c r="BC22" s="79" t="s">
        <v>143</v>
      </c>
      <c r="BD22" s="41"/>
      <c r="BE22" s="41"/>
      <c r="BG22" s="1" t="s">
        <v>143</v>
      </c>
      <c r="BH22" s="80" t="s">
        <v>143</v>
      </c>
      <c r="BI22" s="5"/>
      <c r="BJ22" s="5"/>
      <c r="BL22" s="1" t="s">
        <v>143</v>
      </c>
      <c r="BM22" s="80" t="s">
        <v>135</v>
      </c>
      <c r="BN22" s="39" t="s">
        <v>371</v>
      </c>
      <c r="BO22" s="1" t="s">
        <v>135</v>
      </c>
      <c r="BP22" s="39" t="s">
        <v>372</v>
      </c>
      <c r="BQ22" s="41">
        <f t="shared" si="10"/>
        <v>45679</v>
      </c>
      <c r="BR22" s="43" t="str">
        <f t="shared" si="11"/>
        <v>20:07</v>
      </c>
      <c r="BS22" s="80" t="s">
        <v>135</v>
      </c>
      <c r="BT22" s="1" t="s">
        <v>372</v>
      </c>
      <c r="BU22" s="1" t="s">
        <v>135</v>
      </c>
      <c r="BV22" s="9" t="s">
        <v>371</v>
      </c>
      <c r="BW22" s="41">
        <f t="shared" si="12"/>
        <v>45680</v>
      </c>
      <c r="BX22" s="43">
        <v>0.33333333333333331</v>
      </c>
      <c r="BY22" s="80" t="s">
        <v>374</v>
      </c>
      <c r="BZ22" s="41" t="s">
        <v>371</v>
      </c>
      <c r="CA22" s="1" t="s">
        <v>374</v>
      </c>
      <c r="CB22" s="38" t="s">
        <v>373</v>
      </c>
      <c r="CC22" s="41">
        <v>45680</v>
      </c>
      <c r="CD22" s="43">
        <v>0.38541666666666669</v>
      </c>
      <c r="CE22" s="80" t="s">
        <v>143</v>
      </c>
      <c r="CJ22" s="43"/>
    </row>
    <row r="23" spans="1:88" ht="11.25" customHeight="1" x14ac:dyDescent="0.3">
      <c r="A23" s="38" t="s">
        <v>140</v>
      </c>
      <c r="B23" s="1" t="s">
        <v>108</v>
      </c>
      <c r="C23" s="2" t="s">
        <v>154</v>
      </c>
      <c r="E23" s="41">
        <v>45680</v>
      </c>
      <c r="F23" s="41">
        <v>45680</v>
      </c>
      <c r="G23" s="39" t="s">
        <v>111</v>
      </c>
      <c r="H23" s="39" t="s">
        <v>141</v>
      </c>
      <c r="I23" s="39" t="s">
        <v>113</v>
      </c>
      <c r="J23" s="39" t="s">
        <v>113</v>
      </c>
      <c r="K23" s="2" t="s">
        <v>218</v>
      </c>
      <c r="L23" s="57" t="s">
        <v>219</v>
      </c>
      <c r="M23" s="38" t="s">
        <v>176</v>
      </c>
      <c r="N23" s="60" t="s">
        <v>233</v>
      </c>
      <c r="O23" s="61" t="s">
        <v>264</v>
      </c>
      <c r="P23" s="1" t="s">
        <v>270</v>
      </c>
      <c r="Q23" s="42">
        <v>35203</v>
      </c>
      <c r="R23" s="2" t="s">
        <v>280</v>
      </c>
      <c r="S23" s="2" t="s">
        <v>120</v>
      </c>
      <c r="V23" s="73" t="s">
        <v>316</v>
      </c>
      <c r="W23" s="5">
        <v>45678</v>
      </c>
      <c r="X23" s="49" t="s">
        <v>317</v>
      </c>
      <c r="Y23" s="73" t="s">
        <v>346</v>
      </c>
      <c r="Z23" s="5">
        <v>45679</v>
      </c>
      <c r="AA23" s="1" t="s">
        <v>347</v>
      </c>
      <c r="AB23" s="73" t="s">
        <v>166</v>
      </c>
      <c r="AC23" s="5">
        <v>45679</v>
      </c>
      <c r="AD23" s="1" t="s">
        <v>167</v>
      </c>
      <c r="AE23" s="73" t="s">
        <v>285</v>
      </c>
      <c r="AH23" s="74" t="str">
        <f t="shared" si="7"/>
        <v>LA8207 GRU SCL</v>
      </c>
      <c r="AI23" s="75">
        <f t="shared" si="8"/>
        <v>45679</v>
      </c>
      <c r="AJ23" s="76" t="str">
        <f t="shared" si="9"/>
        <v>21:05 01:25+1</v>
      </c>
      <c r="AK23" s="50" t="s">
        <v>354</v>
      </c>
      <c r="AL23" s="41">
        <v>45680</v>
      </c>
      <c r="AM23" s="51" t="s">
        <v>355</v>
      </c>
      <c r="AN23" s="55" t="s">
        <v>157</v>
      </c>
      <c r="AO23" s="5">
        <v>45680</v>
      </c>
      <c r="AP23" s="78" t="s">
        <v>158</v>
      </c>
      <c r="AQ23" s="39" t="s">
        <v>123</v>
      </c>
      <c r="AR23" s="39" t="s">
        <v>124</v>
      </c>
      <c r="AS23" s="39" t="s">
        <v>125</v>
      </c>
      <c r="AT23" s="39" t="s">
        <v>126</v>
      </c>
      <c r="AU23" s="39" t="s">
        <v>127</v>
      </c>
      <c r="AV23" s="39" t="s">
        <v>128</v>
      </c>
      <c r="AW23" s="4">
        <v>3</v>
      </c>
      <c r="AX23" s="79" t="s">
        <v>143</v>
      </c>
      <c r="BC23" s="79" t="s">
        <v>143</v>
      </c>
      <c r="BD23" s="41"/>
      <c r="BE23" s="41"/>
      <c r="BG23" s="1" t="s">
        <v>143</v>
      </c>
      <c r="BH23" s="80" t="s">
        <v>143</v>
      </c>
      <c r="BI23" s="5"/>
      <c r="BJ23" s="5"/>
      <c r="BL23" s="1" t="s">
        <v>143</v>
      </c>
      <c r="BM23" s="80" t="s">
        <v>374</v>
      </c>
      <c r="BN23" s="39" t="s">
        <v>375</v>
      </c>
      <c r="BO23" s="39" t="s">
        <v>374</v>
      </c>
      <c r="BP23" s="39" t="s">
        <v>373</v>
      </c>
      <c r="BQ23" s="41">
        <v>45680</v>
      </c>
      <c r="BR23" s="43">
        <v>0.38541666666666669</v>
      </c>
      <c r="BS23" s="80" t="s">
        <v>143</v>
      </c>
      <c r="BW23" s="41"/>
      <c r="BX23" s="43"/>
      <c r="BY23" s="80" t="s">
        <v>143</v>
      </c>
      <c r="BZ23" s="41"/>
      <c r="CA23" s="38"/>
      <c r="CB23" s="38"/>
      <c r="CC23" s="41"/>
      <c r="CD23" s="43"/>
      <c r="CE23" s="80" t="s">
        <v>143</v>
      </c>
      <c r="CJ23" s="43"/>
    </row>
    <row r="24" spans="1:88" ht="11.25" customHeight="1" x14ac:dyDescent="0.3">
      <c r="A24" s="38" t="s">
        <v>140</v>
      </c>
      <c r="B24" s="1" t="s">
        <v>108</v>
      </c>
      <c r="C24" s="2" t="s">
        <v>154</v>
      </c>
      <c r="E24" s="41">
        <v>45680</v>
      </c>
      <c r="F24" s="41">
        <v>45680</v>
      </c>
      <c r="G24" s="39" t="s">
        <v>111</v>
      </c>
      <c r="H24" s="39" t="s">
        <v>141</v>
      </c>
      <c r="I24" s="39" t="s">
        <v>113</v>
      </c>
      <c r="J24" s="39" t="s">
        <v>113</v>
      </c>
      <c r="K24" s="2" t="s">
        <v>220</v>
      </c>
      <c r="L24" s="57" t="s">
        <v>221</v>
      </c>
      <c r="M24" s="38" t="s">
        <v>176</v>
      </c>
      <c r="N24" s="60" t="s">
        <v>224</v>
      </c>
      <c r="O24" s="61" t="s">
        <v>271</v>
      </c>
      <c r="P24" s="1" t="s">
        <v>272</v>
      </c>
      <c r="Q24" s="42">
        <v>28390</v>
      </c>
      <c r="R24" s="2" t="s">
        <v>279</v>
      </c>
      <c r="S24" s="2" t="s">
        <v>120</v>
      </c>
      <c r="V24" s="73" t="s">
        <v>318</v>
      </c>
      <c r="W24" s="5">
        <v>45678</v>
      </c>
      <c r="X24" s="49" t="s">
        <v>319</v>
      </c>
      <c r="Y24" s="73" t="s">
        <v>149</v>
      </c>
      <c r="Z24" s="5">
        <v>45679</v>
      </c>
      <c r="AA24" s="1" t="s">
        <v>150</v>
      </c>
      <c r="AB24" s="73" t="s">
        <v>348</v>
      </c>
      <c r="AC24" s="5">
        <v>45679</v>
      </c>
      <c r="AD24" s="1" t="s">
        <v>349</v>
      </c>
      <c r="AE24" s="73" t="s">
        <v>285</v>
      </c>
      <c r="AH24" s="74" t="str">
        <f t="shared" si="7"/>
        <v>LA407 GRU SCL</v>
      </c>
      <c r="AI24" s="75">
        <f t="shared" si="8"/>
        <v>45679</v>
      </c>
      <c r="AJ24" s="76" t="str">
        <f t="shared" si="9"/>
        <v>15:05 21:20</v>
      </c>
      <c r="AK24" s="50" t="s">
        <v>363</v>
      </c>
      <c r="AL24" s="41">
        <v>45680</v>
      </c>
      <c r="AM24" s="51" t="s">
        <v>364</v>
      </c>
      <c r="AN24" s="55" t="s">
        <v>157</v>
      </c>
      <c r="AO24" s="5">
        <v>45680</v>
      </c>
      <c r="AP24" s="78" t="s">
        <v>158</v>
      </c>
      <c r="AQ24" s="39" t="s">
        <v>123</v>
      </c>
      <c r="AR24" s="39" t="s">
        <v>124</v>
      </c>
      <c r="AS24" s="39" t="s">
        <v>125</v>
      </c>
      <c r="AT24" s="39" t="s">
        <v>126</v>
      </c>
      <c r="AU24" s="39" t="s">
        <v>127</v>
      </c>
      <c r="AV24" s="39" t="s">
        <v>128</v>
      </c>
      <c r="AW24" s="4">
        <v>3</v>
      </c>
      <c r="AX24" s="79" t="s">
        <v>143</v>
      </c>
      <c r="BC24" s="79" t="s">
        <v>143</v>
      </c>
      <c r="BD24" s="41"/>
      <c r="BE24" s="41"/>
      <c r="BG24" s="1" t="s">
        <v>143</v>
      </c>
      <c r="BH24" s="80" t="s">
        <v>143</v>
      </c>
      <c r="BI24" s="5"/>
      <c r="BJ24" s="5"/>
      <c r="BL24" s="1" t="s">
        <v>143</v>
      </c>
      <c r="BM24" s="80" t="s">
        <v>374</v>
      </c>
      <c r="BN24" s="39" t="s">
        <v>375</v>
      </c>
      <c r="BO24" s="39" t="s">
        <v>374</v>
      </c>
      <c r="BP24" s="39" t="s">
        <v>373</v>
      </c>
      <c r="BQ24" s="41">
        <v>45680</v>
      </c>
      <c r="BR24" s="43">
        <v>0.38541666666666669</v>
      </c>
      <c r="BS24" s="80" t="s">
        <v>143</v>
      </c>
      <c r="BT24" s="39"/>
      <c r="BU24" s="39"/>
      <c r="BV24" s="39"/>
      <c r="BW24" s="41"/>
      <c r="BX24" s="43"/>
      <c r="BY24" s="80" t="s">
        <v>143</v>
      </c>
      <c r="BZ24" s="41"/>
      <c r="CA24" s="38"/>
      <c r="CB24" s="38"/>
      <c r="CC24" s="41"/>
      <c r="CD24" s="43"/>
      <c r="CE24" s="80" t="s">
        <v>143</v>
      </c>
      <c r="CJ24" s="43"/>
    </row>
    <row r="25" spans="1:88" ht="11.25" customHeight="1" x14ac:dyDescent="0.3">
      <c r="A25" s="38"/>
      <c r="E25" s="41"/>
      <c r="F25" s="41"/>
      <c r="H25" s="39"/>
      <c r="I25" s="39"/>
      <c r="J25" s="39"/>
      <c r="AQ25" s="39"/>
      <c r="AR25" s="39"/>
      <c r="AS25" s="39"/>
      <c r="AT25" s="39"/>
      <c r="AU25" s="39"/>
      <c r="AV25" s="39"/>
      <c r="AX25" s="39"/>
      <c r="BC25" s="39"/>
      <c r="BD25" s="41"/>
      <c r="BE25" s="41"/>
      <c r="BI25" s="5"/>
      <c r="BJ25" s="5"/>
      <c r="BM25" s="39"/>
      <c r="BN25" s="39"/>
      <c r="BO25" s="39"/>
      <c r="BP25" s="39"/>
      <c r="BQ25" s="41"/>
      <c r="BR25" s="43"/>
      <c r="BS25" s="39"/>
      <c r="BT25" s="39"/>
      <c r="BU25" s="39"/>
      <c r="BV25" s="39"/>
      <c r="BW25" s="41"/>
      <c r="BX25" s="43"/>
      <c r="BY25" s="39"/>
      <c r="BZ25" s="41"/>
      <c r="CA25" s="38"/>
      <c r="CB25" s="38"/>
      <c r="CC25" s="41"/>
      <c r="CD25" s="43"/>
      <c r="CE25" s="41"/>
    </row>
    <row r="26" spans="1:88" ht="11.25" customHeight="1" x14ac:dyDescent="0.3">
      <c r="A26" s="38"/>
      <c r="E26" s="41"/>
      <c r="F26" s="41"/>
      <c r="H26" s="39"/>
      <c r="I26" s="39"/>
      <c r="J26" s="39"/>
      <c r="AQ26" s="39"/>
      <c r="AR26" s="39"/>
      <c r="AS26" s="39"/>
      <c r="AT26" s="39"/>
      <c r="AU26" s="39"/>
      <c r="AV26" s="39"/>
      <c r="AX26" s="39"/>
      <c r="BC26" s="39"/>
      <c r="BD26" s="41"/>
      <c r="BE26" s="41"/>
      <c r="BI26" s="5"/>
      <c r="BJ26" s="5"/>
      <c r="BM26" s="39"/>
      <c r="BN26" s="39"/>
      <c r="BO26" s="39"/>
      <c r="BP26" s="39"/>
      <c r="BQ26" s="41"/>
      <c r="BR26" s="43"/>
      <c r="BS26" s="39"/>
      <c r="BT26" s="39"/>
      <c r="BU26" s="39"/>
      <c r="BV26" s="39"/>
      <c r="BW26" s="41"/>
      <c r="BX26" s="43"/>
      <c r="BY26" s="39"/>
      <c r="BZ26" s="41"/>
      <c r="CA26" s="38"/>
      <c r="CB26" s="38"/>
      <c r="CC26" s="41"/>
      <c r="CD26" s="43"/>
      <c r="CE26" s="41"/>
    </row>
    <row r="27" spans="1:88" ht="11.25" customHeight="1" x14ac:dyDescent="0.3">
      <c r="A27" s="38"/>
      <c r="E27" s="41"/>
      <c r="F27" s="41"/>
      <c r="H27" s="39"/>
      <c r="I27" s="39"/>
      <c r="J27" s="39"/>
      <c r="AQ27" s="39"/>
      <c r="AR27" s="39"/>
      <c r="AS27" s="39"/>
      <c r="AT27" s="39"/>
      <c r="AU27" s="39"/>
      <c r="AV27" s="39"/>
      <c r="AX27" s="39"/>
      <c r="BC27" s="39"/>
      <c r="BD27" s="41"/>
      <c r="BE27" s="41"/>
      <c r="BI27" s="5"/>
      <c r="BJ27" s="5"/>
      <c r="BM27" s="39"/>
      <c r="BN27" s="39"/>
      <c r="BO27" s="39"/>
      <c r="BP27" s="39"/>
      <c r="BQ27" s="41"/>
      <c r="BR27" s="43"/>
      <c r="BS27" s="39"/>
      <c r="BT27" s="39"/>
      <c r="BU27" s="39"/>
      <c r="BV27" s="39"/>
      <c r="BW27" s="41"/>
      <c r="BX27" s="43"/>
      <c r="BY27" s="39"/>
      <c r="BZ27" s="41"/>
      <c r="CA27" s="38"/>
      <c r="CB27" s="38"/>
      <c r="CC27" s="41"/>
      <c r="CD27" s="43"/>
      <c r="CE27" s="41"/>
    </row>
    <row r="28" spans="1:88" ht="11.25" customHeight="1" x14ac:dyDescent="0.3">
      <c r="A28" s="38"/>
      <c r="E28" s="41"/>
      <c r="F28" s="41"/>
      <c r="H28" s="39"/>
      <c r="I28" s="39"/>
      <c r="J28" s="39"/>
      <c r="AQ28" s="39"/>
      <c r="AR28" s="39"/>
      <c r="AS28" s="39"/>
      <c r="AT28" s="39"/>
      <c r="AU28" s="39"/>
      <c r="AV28" s="39"/>
      <c r="AX28" s="39"/>
      <c r="BC28" s="39"/>
      <c r="BD28" s="41"/>
      <c r="BE28" s="41"/>
      <c r="BI28" s="5"/>
      <c r="BJ28" s="5"/>
      <c r="BM28" s="39"/>
      <c r="BN28" s="39"/>
      <c r="BO28" s="39"/>
      <c r="BP28" s="39"/>
      <c r="BQ28" s="41"/>
      <c r="BR28" s="43"/>
      <c r="BS28" s="39"/>
      <c r="BT28" s="39"/>
      <c r="BU28" s="39"/>
      <c r="BV28" s="39"/>
      <c r="BW28" s="41"/>
      <c r="BX28" s="43"/>
      <c r="BY28" s="39"/>
      <c r="BZ28" s="41"/>
      <c r="CA28" s="38"/>
      <c r="CB28" s="38"/>
      <c r="CC28" s="41"/>
      <c r="CD28" s="43"/>
      <c r="CE28" s="41"/>
    </row>
    <row r="29" spans="1:88" ht="11.25" customHeight="1" x14ac:dyDescent="0.3">
      <c r="A29" s="38"/>
      <c r="E29" s="41"/>
      <c r="F29" s="41"/>
      <c r="H29" s="39"/>
      <c r="I29" s="39"/>
      <c r="J29" s="39"/>
      <c r="AQ29" s="39"/>
      <c r="AR29" s="39"/>
      <c r="AS29" s="39"/>
      <c r="AT29" s="39"/>
      <c r="AU29" s="39"/>
      <c r="AV29" s="39"/>
      <c r="AX29" s="39"/>
      <c r="BC29" s="39"/>
      <c r="BD29" s="41"/>
      <c r="BE29" s="41"/>
      <c r="BI29" s="5"/>
      <c r="BJ29" s="5"/>
      <c r="BM29" s="39"/>
      <c r="BN29" s="39"/>
      <c r="BO29" s="39"/>
      <c r="BP29" s="39"/>
      <c r="BQ29" s="41"/>
      <c r="BR29" s="43"/>
      <c r="BS29" s="39"/>
      <c r="BT29" s="39"/>
      <c r="BU29" s="39"/>
      <c r="BV29" s="39"/>
      <c r="BW29" s="41"/>
      <c r="BX29" s="43"/>
      <c r="BY29" s="39"/>
      <c r="BZ29" s="41"/>
      <c r="CA29" s="38"/>
      <c r="CB29" s="38"/>
      <c r="CC29" s="41"/>
      <c r="CD29" s="43"/>
      <c r="CE29" s="41"/>
    </row>
    <row r="30" spans="1:88" ht="11.25" customHeight="1" x14ac:dyDescent="0.3">
      <c r="A30" s="38"/>
      <c r="E30" s="41"/>
      <c r="F30" s="41"/>
      <c r="H30" s="39"/>
      <c r="I30" s="39"/>
      <c r="J30" s="39"/>
      <c r="AQ30" s="39"/>
      <c r="AR30" s="39"/>
      <c r="AS30" s="39"/>
      <c r="AT30" s="39"/>
      <c r="AU30" s="39"/>
      <c r="AV30" s="39"/>
      <c r="AX30" s="39"/>
      <c r="BC30" s="39"/>
      <c r="BD30" s="41"/>
      <c r="BE30" s="41"/>
      <c r="BI30" s="5"/>
      <c r="BJ30" s="5"/>
      <c r="BM30" s="39"/>
      <c r="BN30" s="39"/>
      <c r="BO30" s="39"/>
      <c r="BP30" s="39"/>
      <c r="BQ30" s="41"/>
      <c r="BR30" s="43"/>
      <c r="BS30" s="39"/>
      <c r="BT30" s="39"/>
      <c r="BU30" s="39"/>
      <c r="BV30" s="39"/>
      <c r="BW30" s="41"/>
      <c r="BX30" s="43"/>
      <c r="BY30" s="39"/>
      <c r="BZ30" s="41"/>
      <c r="CA30" s="38"/>
      <c r="CB30" s="38"/>
      <c r="CC30" s="41"/>
      <c r="CD30" s="43"/>
      <c r="CE30" s="41"/>
    </row>
    <row r="31" spans="1:88" ht="11.25" customHeight="1" x14ac:dyDescent="0.3">
      <c r="A31" s="38"/>
      <c r="E31" s="41"/>
      <c r="F31" s="41"/>
      <c r="H31" s="39"/>
      <c r="I31" s="39"/>
      <c r="J31" s="39"/>
      <c r="AQ31" s="39"/>
      <c r="AR31" s="39"/>
      <c r="AS31" s="39"/>
      <c r="AT31" s="39"/>
      <c r="AU31" s="39"/>
      <c r="AV31" s="39"/>
      <c r="AX31" s="39"/>
      <c r="BC31" s="39"/>
      <c r="BD31" s="41"/>
      <c r="BE31" s="41"/>
      <c r="BI31" s="5"/>
      <c r="BJ31" s="5"/>
      <c r="BM31" s="39"/>
      <c r="BN31" s="39"/>
      <c r="BO31" s="39"/>
      <c r="BP31" s="39"/>
      <c r="BQ31" s="41"/>
      <c r="BR31" s="43"/>
      <c r="BS31" s="39"/>
      <c r="BT31" s="39"/>
      <c r="BU31" s="39"/>
      <c r="BV31" s="39"/>
      <c r="BW31" s="41"/>
      <c r="BX31" s="43"/>
      <c r="BY31" s="39"/>
      <c r="BZ31" s="41"/>
      <c r="CA31" s="38"/>
      <c r="CB31" s="38"/>
      <c r="CC31" s="41"/>
      <c r="CD31" s="43"/>
      <c r="CE31" s="41"/>
    </row>
    <row r="32" spans="1:88" ht="11.25" customHeight="1" x14ac:dyDescent="0.3">
      <c r="A32" s="38"/>
      <c r="E32" s="41"/>
      <c r="F32" s="41"/>
      <c r="H32" s="39"/>
      <c r="I32" s="39"/>
      <c r="J32" s="39"/>
      <c r="AQ32" s="39"/>
      <c r="AR32" s="39"/>
      <c r="AS32" s="39"/>
      <c r="AT32" s="39"/>
      <c r="AU32" s="39"/>
      <c r="AV32" s="39"/>
      <c r="AX32" s="39"/>
      <c r="BC32" s="39"/>
      <c r="BD32" s="41"/>
      <c r="BE32" s="41"/>
      <c r="BI32" s="5"/>
      <c r="BJ32" s="5"/>
      <c r="BM32" s="39"/>
      <c r="BN32" s="39"/>
      <c r="BO32" s="39"/>
      <c r="BP32" s="39"/>
      <c r="BQ32" s="41"/>
      <c r="BR32" s="43"/>
      <c r="BS32" s="39"/>
      <c r="BT32" s="39"/>
      <c r="BU32" s="39"/>
      <c r="BV32" s="39"/>
      <c r="BW32" s="41"/>
      <c r="BX32" s="43"/>
      <c r="BY32" s="39"/>
      <c r="BZ32" s="41"/>
      <c r="CA32" s="38"/>
      <c r="CB32" s="38"/>
      <c r="CC32" s="41"/>
      <c r="CD32" s="43"/>
      <c r="CE32" s="41"/>
    </row>
    <row r="33" spans="1:83" ht="11.25" customHeight="1" x14ac:dyDescent="0.3">
      <c r="A33" s="38"/>
      <c r="E33" s="41"/>
      <c r="F33" s="41"/>
      <c r="H33" s="39"/>
      <c r="I33" s="39"/>
      <c r="J33" s="39"/>
      <c r="AQ33" s="39"/>
      <c r="AR33" s="39"/>
      <c r="AS33" s="39"/>
      <c r="AT33" s="39"/>
      <c r="AU33" s="39"/>
      <c r="AV33" s="39"/>
      <c r="AX33" s="39"/>
      <c r="BC33" s="39"/>
      <c r="BD33" s="41"/>
      <c r="BE33" s="41"/>
      <c r="BI33" s="5"/>
      <c r="BJ33" s="5"/>
      <c r="BM33" s="39"/>
      <c r="BN33" s="39"/>
      <c r="BO33" s="39"/>
      <c r="BP33" s="39"/>
      <c r="BQ33" s="41"/>
      <c r="BR33" s="43"/>
      <c r="BS33" s="39"/>
      <c r="BT33" s="39"/>
      <c r="BU33" s="39"/>
      <c r="BV33" s="39"/>
      <c r="BW33" s="41"/>
      <c r="BX33" s="43"/>
      <c r="BY33" s="39"/>
      <c r="BZ33" s="41"/>
      <c r="CA33" s="38"/>
      <c r="CB33" s="38"/>
      <c r="CC33" s="41"/>
      <c r="CD33" s="43"/>
      <c r="CE33" s="41"/>
    </row>
    <row r="34" spans="1:83" ht="11.25" customHeight="1" x14ac:dyDescent="0.3">
      <c r="A34" s="38"/>
      <c r="E34" s="41"/>
      <c r="F34" s="41"/>
      <c r="H34" s="39"/>
      <c r="I34" s="39"/>
      <c r="J34" s="39"/>
      <c r="AQ34" s="39"/>
      <c r="AR34" s="39"/>
      <c r="AS34" s="39"/>
      <c r="AT34" s="39"/>
      <c r="AU34" s="39"/>
      <c r="AV34" s="39"/>
      <c r="AX34" s="39"/>
      <c r="BC34" s="39"/>
      <c r="BD34" s="41"/>
      <c r="BE34" s="41"/>
      <c r="BI34" s="5"/>
      <c r="BJ34" s="5"/>
      <c r="BM34" s="39"/>
      <c r="BN34" s="39"/>
      <c r="BO34" s="39"/>
      <c r="BP34" s="39"/>
      <c r="BQ34" s="41"/>
      <c r="BR34" s="43"/>
      <c r="BS34" s="39"/>
      <c r="BT34" s="39"/>
      <c r="BU34" s="39"/>
      <c r="BV34" s="39"/>
      <c r="BW34" s="41"/>
      <c r="BX34" s="43"/>
      <c r="BY34" s="39"/>
      <c r="BZ34" s="41"/>
      <c r="CA34" s="38"/>
      <c r="CB34" s="38"/>
      <c r="CC34" s="41"/>
      <c r="CD34" s="43"/>
      <c r="CE34" s="41"/>
    </row>
    <row r="35" spans="1:83" ht="11.25" customHeight="1" x14ac:dyDescent="0.3">
      <c r="A35" s="38"/>
      <c r="E35" s="41"/>
      <c r="F35" s="41"/>
      <c r="H35" s="39"/>
      <c r="I35" s="39"/>
      <c r="J35" s="39"/>
      <c r="AQ35" s="39"/>
      <c r="AR35" s="39"/>
      <c r="AS35" s="39"/>
      <c r="AT35" s="39"/>
      <c r="AU35" s="39"/>
      <c r="AV35" s="39"/>
      <c r="AX35" s="39"/>
      <c r="BC35" s="39"/>
      <c r="BD35" s="41"/>
      <c r="BE35" s="41"/>
      <c r="BI35" s="5"/>
      <c r="BJ35" s="5"/>
      <c r="BM35" s="39"/>
      <c r="BN35" s="39"/>
      <c r="BO35" s="39"/>
      <c r="BP35" s="39"/>
      <c r="BQ35" s="41"/>
      <c r="BR35" s="43"/>
      <c r="BS35" s="39"/>
      <c r="BT35" s="39"/>
      <c r="BU35" s="39"/>
      <c r="BV35" s="39"/>
      <c r="BW35" s="41"/>
      <c r="BX35" s="43"/>
      <c r="BY35" s="39"/>
      <c r="BZ35" s="41"/>
      <c r="CA35" s="38"/>
      <c r="CB35" s="38"/>
      <c r="CC35" s="41"/>
      <c r="CD35" s="43"/>
      <c r="CE35" s="41"/>
    </row>
    <row r="36" spans="1:83" ht="11.25" customHeight="1" x14ac:dyDescent="0.3">
      <c r="A36" s="38"/>
      <c r="E36" s="41"/>
      <c r="F36" s="41"/>
      <c r="H36" s="39"/>
      <c r="I36" s="39"/>
      <c r="J36" s="39"/>
      <c r="AQ36" s="39"/>
      <c r="AR36" s="39"/>
      <c r="AS36" s="39"/>
      <c r="AT36" s="39"/>
      <c r="AU36" s="39"/>
      <c r="AV36" s="39"/>
      <c r="AX36" s="39"/>
      <c r="BC36" s="39"/>
      <c r="BD36" s="41"/>
      <c r="BE36" s="41"/>
      <c r="BI36" s="5"/>
      <c r="BJ36" s="5"/>
    </row>
    <row r="37" spans="1:83" ht="11.25" customHeight="1" x14ac:dyDescent="0.3">
      <c r="A37" s="38"/>
      <c r="E37" s="41"/>
      <c r="F37" s="41"/>
      <c r="H37" s="39"/>
      <c r="I37" s="39"/>
      <c r="J37" s="39"/>
      <c r="AQ37" s="39"/>
      <c r="AR37" s="39"/>
      <c r="AS37" s="39"/>
      <c r="AT37" s="39"/>
      <c r="AU37" s="39"/>
      <c r="AV37" s="39"/>
      <c r="AX37" s="39"/>
      <c r="BC37" s="39"/>
      <c r="BD37" s="41"/>
      <c r="BE37" s="41"/>
      <c r="BI37" s="5"/>
      <c r="BJ37" s="5"/>
    </row>
    <row r="38" spans="1:83" ht="11.25" customHeight="1" x14ac:dyDescent="0.3">
      <c r="A38" s="38"/>
      <c r="E38" s="41"/>
      <c r="F38" s="41"/>
      <c r="H38" s="39"/>
      <c r="I38" s="39"/>
      <c r="J38" s="39"/>
      <c r="AQ38" s="39"/>
      <c r="AR38" s="39"/>
      <c r="AS38" s="39"/>
      <c r="AT38" s="39"/>
      <c r="AU38" s="39"/>
      <c r="AV38" s="39"/>
      <c r="AX38" s="39"/>
      <c r="BC38" s="39"/>
      <c r="BD38" s="41"/>
      <c r="BE38" s="41"/>
      <c r="BI38" s="5"/>
      <c r="BJ38" s="5"/>
      <c r="BM38" s="39"/>
      <c r="BN38" s="39"/>
      <c r="BO38" s="39"/>
      <c r="BP38" s="39"/>
      <c r="BQ38" s="41"/>
      <c r="BR38" s="43"/>
      <c r="BS38" s="39"/>
      <c r="BT38" s="39"/>
      <c r="BU38" s="39"/>
      <c r="BV38" s="39"/>
      <c r="BW38" s="41"/>
      <c r="BX38" s="43"/>
      <c r="BY38" s="39"/>
      <c r="BZ38" s="41"/>
      <c r="CA38" s="38"/>
      <c r="CB38" s="38"/>
      <c r="CC38" s="41"/>
      <c r="CD38" s="43"/>
      <c r="CE38" s="41"/>
    </row>
    <row r="39" spans="1:83" ht="11.25" customHeight="1" x14ac:dyDescent="0.3">
      <c r="A39" s="38"/>
      <c r="E39" s="41"/>
      <c r="F39" s="41"/>
      <c r="H39" s="39"/>
      <c r="I39" s="39"/>
      <c r="J39" s="39"/>
      <c r="AQ39" s="39"/>
      <c r="AR39" s="39"/>
      <c r="AS39" s="39"/>
      <c r="AT39" s="39"/>
      <c r="AU39" s="39"/>
      <c r="AV39" s="39"/>
      <c r="AX39" s="39"/>
      <c r="BC39" s="39"/>
      <c r="BD39" s="41"/>
      <c r="BE39" s="41"/>
      <c r="BI39" s="5"/>
      <c r="BJ39" s="5"/>
      <c r="BM39" s="39"/>
      <c r="BN39" s="39"/>
      <c r="BO39" s="39"/>
      <c r="BP39" s="39"/>
      <c r="BQ39" s="41"/>
      <c r="BR39" s="43"/>
      <c r="BS39" s="39"/>
      <c r="BT39" s="39"/>
      <c r="BU39" s="39"/>
      <c r="BV39" s="39"/>
      <c r="BW39" s="41"/>
      <c r="BX39" s="43"/>
      <c r="BY39" s="39"/>
      <c r="BZ39" s="41"/>
      <c r="CA39" s="38"/>
      <c r="CB39" s="38"/>
      <c r="CC39" s="41"/>
      <c r="CD39" s="43"/>
      <c r="CE39" s="41"/>
    </row>
    <row r="40" spans="1:83" ht="11.25" customHeight="1" x14ac:dyDescent="0.3">
      <c r="A40" s="38"/>
      <c r="E40" s="41"/>
      <c r="F40" s="41"/>
      <c r="H40" s="39"/>
      <c r="I40" s="39"/>
      <c r="J40" s="39"/>
      <c r="AQ40" s="39"/>
      <c r="AR40" s="39"/>
      <c r="AS40" s="39"/>
      <c r="AT40" s="39"/>
      <c r="AU40" s="39"/>
      <c r="AV40" s="39"/>
      <c r="AX40" s="39"/>
      <c r="BC40" s="39"/>
      <c r="BD40" s="41"/>
      <c r="BE40" s="41"/>
      <c r="BI40" s="5"/>
      <c r="BJ40" s="5"/>
      <c r="BM40" s="39"/>
      <c r="BN40" s="39"/>
      <c r="BO40" s="39"/>
      <c r="BP40" s="39"/>
      <c r="BQ40" s="41"/>
      <c r="BR40" s="43"/>
      <c r="BS40" s="39"/>
      <c r="BT40" s="39"/>
      <c r="BU40" s="39"/>
      <c r="BV40" s="39"/>
      <c r="BW40" s="41"/>
      <c r="BX40" s="43"/>
      <c r="BY40" s="39"/>
      <c r="BZ40" s="41"/>
      <c r="CA40" s="38"/>
      <c r="CB40" s="38"/>
      <c r="CC40" s="41"/>
      <c r="CD40" s="43"/>
      <c r="CE40" s="41"/>
    </row>
    <row r="41" spans="1:83" ht="11.25" customHeight="1" x14ac:dyDescent="0.3">
      <c r="A41" s="38"/>
      <c r="E41" s="41"/>
      <c r="F41" s="41"/>
      <c r="H41" s="39"/>
      <c r="I41" s="39"/>
      <c r="J41" s="39"/>
      <c r="AQ41" s="39"/>
      <c r="AR41" s="39"/>
      <c r="AS41" s="39"/>
      <c r="AT41" s="39"/>
      <c r="AU41" s="39"/>
      <c r="AV41" s="39"/>
      <c r="AX41" s="39"/>
      <c r="BC41" s="39"/>
      <c r="BD41" s="41"/>
      <c r="BE41" s="41"/>
      <c r="BI41" s="5"/>
      <c r="BJ41" s="5"/>
      <c r="BM41" s="39"/>
      <c r="BN41" s="39"/>
      <c r="BO41" s="39"/>
      <c r="BP41" s="39"/>
      <c r="BQ41" s="41"/>
      <c r="BR41" s="43"/>
      <c r="BS41" s="39"/>
      <c r="BT41" s="39"/>
      <c r="BU41" s="39"/>
      <c r="BV41" s="39"/>
      <c r="BW41" s="41"/>
      <c r="BX41" s="43"/>
      <c r="BY41" s="39"/>
      <c r="BZ41" s="41"/>
      <c r="CA41" s="38"/>
      <c r="CB41" s="38"/>
      <c r="CC41" s="41"/>
      <c r="CD41" s="43"/>
      <c r="CE41" s="41"/>
    </row>
    <row r="42" spans="1:83" ht="11.25" customHeight="1" x14ac:dyDescent="0.3">
      <c r="A42" s="38"/>
      <c r="E42" s="41"/>
      <c r="F42" s="41"/>
      <c r="H42" s="39"/>
      <c r="I42" s="39"/>
      <c r="J42" s="39"/>
      <c r="AQ42" s="39"/>
      <c r="AR42" s="39"/>
      <c r="AS42" s="39"/>
      <c r="AT42" s="39"/>
      <c r="AU42" s="39"/>
      <c r="AV42" s="39"/>
      <c r="AX42" s="39"/>
      <c r="BC42" s="39"/>
      <c r="BD42" s="41"/>
      <c r="BE42" s="41"/>
      <c r="BI42" s="5"/>
      <c r="BJ42" s="5"/>
      <c r="BM42" s="39"/>
      <c r="BN42" s="39"/>
      <c r="BO42" s="39"/>
      <c r="BP42" s="39"/>
      <c r="BQ42" s="41"/>
      <c r="BR42" s="43"/>
      <c r="BS42" s="39"/>
      <c r="BT42" s="39"/>
      <c r="BU42" s="39"/>
      <c r="BV42" s="39"/>
      <c r="BW42" s="41"/>
      <c r="BX42" s="43"/>
      <c r="BY42" s="39"/>
      <c r="BZ42" s="41"/>
      <c r="CA42" s="38"/>
      <c r="CB42" s="38"/>
      <c r="CC42" s="41"/>
      <c r="CD42" s="43"/>
      <c r="CE42" s="41"/>
    </row>
    <row r="43" spans="1:83" ht="11.25" customHeight="1" x14ac:dyDescent="0.3">
      <c r="A43" s="38"/>
      <c r="E43" s="41"/>
      <c r="F43" s="41"/>
      <c r="H43" s="39"/>
      <c r="I43" s="39"/>
      <c r="J43" s="39"/>
      <c r="AQ43" s="39"/>
      <c r="AR43" s="39"/>
      <c r="AS43" s="39"/>
      <c r="AT43" s="39"/>
      <c r="AU43" s="39"/>
      <c r="AV43" s="39"/>
      <c r="AX43" s="39"/>
      <c r="BC43" s="39"/>
      <c r="BD43" s="41"/>
      <c r="BE43" s="41"/>
      <c r="BI43" s="5"/>
      <c r="BJ43" s="5"/>
      <c r="BM43" s="39"/>
      <c r="BN43" s="39"/>
      <c r="BO43" s="39"/>
      <c r="BP43" s="39"/>
      <c r="BQ43" s="41"/>
      <c r="BR43" s="43"/>
      <c r="BS43" s="39"/>
      <c r="BT43" s="39"/>
      <c r="BU43" s="39"/>
      <c r="BV43" s="39"/>
      <c r="BW43" s="41"/>
      <c r="BX43" s="43"/>
      <c r="BY43" s="39"/>
      <c r="BZ43" s="41"/>
      <c r="CA43" s="38"/>
      <c r="CB43" s="38"/>
      <c r="CC43" s="41"/>
      <c r="CD43" s="43"/>
      <c r="CE43" s="41"/>
    </row>
    <row r="44" spans="1:83" ht="11.25" customHeight="1" x14ac:dyDescent="0.3">
      <c r="A44" s="38"/>
      <c r="E44" s="41"/>
      <c r="F44" s="41"/>
      <c r="H44" s="39"/>
      <c r="I44" s="39"/>
      <c r="J44" s="39"/>
      <c r="AQ44" s="39"/>
      <c r="AR44" s="39"/>
      <c r="AS44" s="39"/>
      <c r="AT44" s="39"/>
      <c r="AU44" s="39"/>
      <c r="AV44" s="39"/>
      <c r="AX44" s="39"/>
      <c r="BC44" s="39"/>
      <c r="BD44" s="41"/>
      <c r="BE44" s="41"/>
      <c r="BI44" s="5"/>
      <c r="BJ44" s="5"/>
      <c r="BM44" s="39"/>
      <c r="BN44" s="39"/>
      <c r="BO44" s="39"/>
      <c r="BP44" s="39"/>
      <c r="BQ44" s="41"/>
      <c r="BR44" s="43"/>
      <c r="BS44" s="39"/>
      <c r="BT44" s="39"/>
      <c r="BU44" s="39"/>
      <c r="BV44" s="39"/>
      <c r="BW44" s="41"/>
      <c r="BX44" s="43"/>
      <c r="BY44" s="39"/>
      <c r="BZ44" s="41"/>
      <c r="CA44" s="38"/>
      <c r="CB44" s="38"/>
      <c r="CC44" s="41"/>
      <c r="CD44" s="43"/>
      <c r="CE44" s="41"/>
    </row>
    <row r="45" spans="1:83" ht="11.25" customHeight="1" x14ac:dyDescent="0.3">
      <c r="A45" s="38"/>
      <c r="E45" s="41"/>
      <c r="F45" s="41"/>
      <c r="H45" s="39"/>
      <c r="I45" s="39"/>
      <c r="J45" s="39"/>
      <c r="AQ45" s="39"/>
      <c r="AR45" s="39"/>
      <c r="AS45" s="39"/>
      <c r="AT45" s="39"/>
      <c r="AU45" s="39"/>
      <c r="AV45" s="39"/>
      <c r="AX45" s="39"/>
      <c r="BC45" s="39"/>
      <c r="BD45" s="41"/>
      <c r="BE45" s="41"/>
      <c r="BI45" s="5"/>
      <c r="BJ45" s="5"/>
      <c r="BM45" s="39"/>
      <c r="BN45" s="39"/>
      <c r="BO45" s="39"/>
      <c r="BP45" s="39"/>
      <c r="BQ45" s="41"/>
      <c r="BR45" s="43"/>
      <c r="BS45" s="39"/>
      <c r="BT45" s="39"/>
      <c r="BU45" s="39"/>
      <c r="BV45" s="39"/>
      <c r="BW45" s="41"/>
      <c r="BX45" s="43"/>
      <c r="BY45" s="39"/>
      <c r="BZ45" s="41"/>
      <c r="CA45" s="38"/>
      <c r="CB45" s="38"/>
      <c r="CC45" s="41"/>
      <c r="CD45" s="43"/>
      <c r="CE45" s="41"/>
    </row>
    <row r="46" spans="1:83" ht="11.25" customHeight="1" x14ac:dyDescent="0.3">
      <c r="A46" s="38"/>
      <c r="E46" s="41"/>
      <c r="F46" s="41"/>
      <c r="H46" s="39"/>
      <c r="I46" s="39"/>
      <c r="J46" s="39"/>
      <c r="AQ46" s="39"/>
      <c r="AR46" s="39"/>
      <c r="AS46" s="39"/>
      <c r="AT46" s="39"/>
      <c r="AU46" s="39"/>
      <c r="AV46" s="39"/>
      <c r="AX46" s="39"/>
      <c r="BC46" s="39"/>
      <c r="BD46" s="41"/>
      <c r="BE46" s="41"/>
      <c r="BI46" s="5"/>
      <c r="BJ46" s="5"/>
      <c r="BM46" s="39"/>
      <c r="BN46" s="39"/>
      <c r="BO46" s="39"/>
      <c r="BP46" s="39"/>
      <c r="BQ46" s="41"/>
      <c r="BR46" s="43"/>
      <c r="BS46" s="39"/>
      <c r="BT46" s="39"/>
      <c r="BU46" s="39"/>
      <c r="BV46" s="39"/>
      <c r="BW46" s="41"/>
      <c r="BX46" s="43"/>
      <c r="BY46" s="39"/>
      <c r="BZ46" s="41"/>
      <c r="CA46" s="38"/>
      <c r="CB46" s="38"/>
      <c r="CC46" s="41"/>
      <c r="CD46" s="43"/>
      <c r="CE46" s="41"/>
    </row>
    <row r="47" spans="1:83" ht="11.25" customHeight="1" x14ac:dyDescent="0.3">
      <c r="A47" s="38"/>
      <c r="E47" s="41"/>
      <c r="F47" s="41"/>
      <c r="H47" s="39"/>
      <c r="I47" s="39"/>
      <c r="J47" s="39"/>
      <c r="AQ47" s="39"/>
      <c r="AR47" s="39"/>
      <c r="AS47" s="39"/>
      <c r="AT47" s="39"/>
      <c r="AU47" s="39"/>
      <c r="AV47" s="39"/>
      <c r="AX47" s="39"/>
      <c r="BC47" s="39"/>
      <c r="BD47" s="41"/>
      <c r="BE47" s="41"/>
      <c r="BI47" s="5"/>
      <c r="BJ47" s="5"/>
      <c r="BM47" s="39"/>
      <c r="BN47" s="39"/>
      <c r="BO47" s="39"/>
      <c r="BP47" s="39"/>
      <c r="BQ47" s="41"/>
      <c r="BR47" s="43"/>
      <c r="BS47" s="39"/>
      <c r="BT47" s="39"/>
      <c r="BU47" s="39"/>
      <c r="BV47" s="39"/>
      <c r="BW47" s="41"/>
      <c r="BX47" s="43"/>
      <c r="BY47" s="39"/>
      <c r="BZ47" s="41"/>
      <c r="CA47" s="38"/>
      <c r="CB47" s="38"/>
      <c r="CC47" s="41"/>
      <c r="CD47" s="43"/>
      <c r="CE47" s="41"/>
    </row>
    <row r="48" spans="1:83" ht="11.25" customHeight="1" x14ac:dyDescent="0.3">
      <c r="A48" s="38"/>
      <c r="E48" s="41"/>
      <c r="F48" s="41"/>
      <c r="H48" s="39"/>
      <c r="I48" s="39"/>
      <c r="J48" s="39"/>
      <c r="AQ48" s="39"/>
      <c r="AR48" s="39"/>
      <c r="AS48" s="39"/>
      <c r="AT48" s="39"/>
      <c r="AU48" s="39"/>
      <c r="AV48" s="39"/>
      <c r="AX48" s="39"/>
      <c r="BC48" s="39"/>
      <c r="BD48" s="41"/>
      <c r="BE48" s="41"/>
      <c r="BI48" s="5"/>
      <c r="BJ48" s="5"/>
      <c r="BM48" s="39"/>
      <c r="BN48" s="39"/>
      <c r="BO48" s="39"/>
      <c r="BP48" s="39"/>
      <c r="BQ48" s="41"/>
      <c r="BR48" s="43"/>
      <c r="BS48" s="39"/>
      <c r="BT48" s="39"/>
      <c r="BU48" s="39"/>
      <c r="BV48" s="39"/>
      <c r="BW48" s="41"/>
      <c r="BX48" s="43"/>
      <c r="BY48" s="39"/>
      <c r="BZ48" s="41"/>
      <c r="CA48" s="38"/>
      <c r="CB48" s="38"/>
      <c r="CC48" s="41"/>
      <c r="CD48" s="43"/>
      <c r="CE48" s="41"/>
    </row>
    <row r="49" spans="1:83" ht="11.25" customHeight="1" x14ac:dyDescent="0.3">
      <c r="A49" s="38"/>
      <c r="E49" s="41"/>
      <c r="F49" s="41"/>
      <c r="H49" s="39"/>
      <c r="I49" s="39"/>
      <c r="J49" s="39"/>
      <c r="AQ49" s="39"/>
      <c r="AR49" s="39"/>
      <c r="AS49" s="39"/>
      <c r="AT49" s="39"/>
      <c r="AU49" s="39"/>
      <c r="AV49" s="39"/>
      <c r="AX49" s="39"/>
      <c r="BC49" s="39"/>
      <c r="BD49" s="41"/>
      <c r="BE49" s="41"/>
      <c r="BI49" s="5"/>
      <c r="BJ49" s="5"/>
      <c r="BM49" s="39"/>
      <c r="BN49" s="39"/>
      <c r="BO49" s="39"/>
      <c r="BP49" s="39"/>
      <c r="BQ49" s="41"/>
      <c r="BR49" s="43"/>
      <c r="BS49" s="39"/>
      <c r="BT49" s="39"/>
      <c r="BU49" s="39"/>
      <c r="BV49" s="39"/>
      <c r="BW49" s="41"/>
      <c r="BX49" s="43"/>
      <c r="BY49" s="39"/>
      <c r="BZ49" s="41"/>
      <c r="CA49" s="38"/>
      <c r="CB49" s="38"/>
      <c r="CC49" s="41"/>
      <c r="CD49" s="43"/>
      <c r="CE49" s="41"/>
    </row>
    <row r="50" spans="1:83" ht="11.25" customHeight="1" x14ac:dyDescent="0.3">
      <c r="A50" s="38"/>
      <c r="E50" s="41"/>
      <c r="F50" s="41"/>
      <c r="H50" s="39"/>
      <c r="I50" s="39"/>
      <c r="J50" s="39"/>
      <c r="AQ50" s="39"/>
      <c r="AR50" s="39"/>
      <c r="AS50" s="39"/>
      <c r="AT50" s="39"/>
      <c r="AU50" s="39"/>
      <c r="AV50" s="39"/>
      <c r="AX50" s="39"/>
      <c r="BC50" s="39"/>
      <c r="BD50" s="41"/>
      <c r="BE50" s="41"/>
      <c r="BI50" s="5"/>
      <c r="BJ50" s="5"/>
      <c r="BM50" s="39"/>
      <c r="BN50" s="39"/>
      <c r="BO50" s="39"/>
      <c r="BP50" s="39"/>
      <c r="BQ50" s="41"/>
      <c r="BR50" s="43"/>
      <c r="BS50" s="39"/>
      <c r="BT50" s="39"/>
      <c r="BU50" s="39"/>
      <c r="BV50" s="39"/>
      <c r="BW50" s="41"/>
      <c r="BX50" s="43"/>
      <c r="BY50" s="39"/>
      <c r="BZ50" s="41"/>
      <c r="CA50" s="38"/>
      <c r="CB50" s="38"/>
      <c r="CC50" s="41"/>
      <c r="CD50" s="43"/>
      <c r="CE50" s="41"/>
    </row>
    <row r="51" spans="1:83" ht="11.25" customHeight="1" x14ac:dyDescent="0.3">
      <c r="A51" s="38"/>
      <c r="E51" s="41"/>
      <c r="F51" s="41"/>
      <c r="H51" s="39"/>
      <c r="I51" s="39"/>
      <c r="J51" s="39"/>
      <c r="AQ51" s="39"/>
      <c r="AR51" s="39"/>
      <c r="AS51" s="39"/>
      <c r="AT51" s="39"/>
      <c r="AU51" s="39"/>
      <c r="AV51" s="39"/>
      <c r="AX51" s="39"/>
      <c r="BC51" s="39"/>
      <c r="BD51" s="41"/>
      <c r="BE51" s="41"/>
      <c r="BI51" s="5"/>
      <c r="BJ51" s="5"/>
      <c r="BM51" s="39"/>
      <c r="BN51" s="39"/>
      <c r="BO51" s="39"/>
      <c r="BP51" s="39"/>
      <c r="BQ51" s="41"/>
      <c r="BR51" s="43"/>
      <c r="BS51" s="39"/>
      <c r="BT51" s="39"/>
      <c r="BU51" s="39"/>
      <c r="BV51" s="39"/>
      <c r="BW51" s="41"/>
      <c r="BX51" s="43"/>
      <c r="BY51" s="39"/>
      <c r="BZ51" s="41"/>
      <c r="CA51" s="38"/>
      <c r="CB51" s="38"/>
      <c r="CC51" s="41"/>
      <c r="CD51" s="43"/>
      <c r="CE51" s="41"/>
    </row>
    <row r="52" spans="1:83" x14ac:dyDescent="0.3">
      <c r="A52" s="38"/>
      <c r="E52" s="41"/>
      <c r="F52" s="41"/>
      <c r="H52" s="39"/>
      <c r="I52" s="39"/>
      <c r="J52" s="39"/>
      <c r="AQ52" s="39"/>
      <c r="AR52" s="39"/>
      <c r="AS52" s="39"/>
      <c r="AT52" s="39"/>
      <c r="AU52" s="39"/>
      <c r="AV52" s="39"/>
      <c r="AX52" s="39"/>
      <c r="BC52" s="39"/>
      <c r="BD52" s="41"/>
      <c r="BE52" s="41"/>
      <c r="BI52" s="5"/>
      <c r="BJ52" s="5"/>
      <c r="BM52" s="39"/>
      <c r="BN52" s="39"/>
      <c r="BO52" s="39"/>
      <c r="BP52" s="39"/>
      <c r="BQ52" s="41"/>
      <c r="BR52" s="43"/>
      <c r="BS52" s="39"/>
      <c r="BT52" s="39"/>
      <c r="BU52" s="39"/>
      <c r="BV52" s="39"/>
      <c r="BW52" s="41"/>
      <c r="BX52" s="43"/>
      <c r="BY52" s="39"/>
      <c r="BZ52" s="41"/>
      <c r="CA52" s="38"/>
      <c r="CB52" s="38"/>
      <c r="CC52" s="41"/>
      <c r="CD52" s="43"/>
      <c r="CE52" s="41"/>
    </row>
    <row r="53" spans="1:83" x14ac:dyDescent="0.3">
      <c r="A53" s="38"/>
      <c r="E53" s="41"/>
      <c r="F53" s="41"/>
      <c r="H53" s="39"/>
      <c r="I53" s="39"/>
      <c r="J53" s="39"/>
      <c r="AQ53" s="39"/>
      <c r="AR53" s="39"/>
      <c r="AS53" s="39"/>
      <c r="AT53" s="39"/>
      <c r="AU53" s="39"/>
      <c r="AV53" s="39"/>
      <c r="AX53" s="39"/>
      <c r="BC53" s="39"/>
      <c r="BD53" s="41"/>
      <c r="BE53" s="41"/>
      <c r="BI53" s="5"/>
      <c r="BJ53" s="5"/>
      <c r="BM53" s="39"/>
      <c r="BN53" s="39"/>
      <c r="BO53" s="39"/>
      <c r="BP53" s="39"/>
      <c r="BQ53" s="41"/>
      <c r="BR53" s="43"/>
      <c r="BS53" s="39"/>
      <c r="BT53" s="39"/>
      <c r="BU53" s="39"/>
      <c r="BV53" s="39"/>
      <c r="BW53" s="41"/>
      <c r="BX53" s="43"/>
      <c r="BY53" s="39"/>
      <c r="BZ53" s="41"/>
      <c r="CA53" s="38"/>
      <c r="CB53" s="38"/>
      <c r="CC53" s="41"/>
      <c r="CD53" s="43"/>
      <c r="CE53" s="41"/>
    </row>
    <row r="54" spans="1:83" x14ac:dyDescent="0.3">
      <c r="A54" s="38"/>
      <c r="E54" s="41"/>
      <c r="F54" s="41"/>
      <c r="H54" s="39"/>
      <c r="I54" s="39"/>
      <c r="J54" s="39"/>
      <c r="AQ54" s="39"/>
      <c r="AR54" s="39"/>
      <c r="AS54" s="39"/>
      <c r="AT54" s="39"/>
      <c r="AU54" s="39"/>
      <c r="AV54" s="39"/>
      <c r="AX54" s="39"/>
      <c r="BC54" s="39"/>
      <c r="BD54" s="41"/>
      <c r="BE54" s="41"/>
      <c r="BI54" s="5"/>
      <c r="BJ54" s="5"/>
      <c r="BM54" s="39"/>
      <c r="BN54" s="39"/>
      <c r="BO54" s="39"/>
      <c r="BP54" s="39"/>
      <c r="BQ54" s="41"/>
      <c r="BR54" s="43"/>
      <c r="BS54" s="39"/>
      <c r="BT54" s="39"/>
      <c r="BU54" s="39"/>
      <c r="BV54" s="39"/>
      <c r="BW54" s="41"/>
      <c r="BX54" s="43"/>
      <c r="BY54" s="39"/>
      <c r="BZ54" s="41"/>
      <c r="CA54" s="38"/>
      <c r="CB54" s="38"/>
      <c r="CC54" s="41"/>
      <c r="CD54" s="43"/>
      <c r="CE54" s="41"/>
    </row>
    <row r="55" spans="1:83" x14ac:dyDescent="0.3">
      <c r="A55" s="38"/>
      <c r="E55" s="41"/>
      <c r="F55" s="41"/>
      <c r="H55" s="39"/>
      <c r="I55" s="39"/>
      <c r="J55" s="39"/>
      <c r="AQ55" s="39"/>
      <c r="AR55" s="39"/>
      <c r="AS55" s="39"/>
      <c r="AT55" s="39"/>
      <c r="AU55" s="39"/>
      <c r="AV55" s="39"/>
      <c r="AX55" s="39"/>
      <c r="BC55" s="39"/>
      <c r="BD55" s="41"/>
      <c r="BE55" s="41"/>
      <c r="BI55" s="5"/>
      <c r="BJ55" s="5"/>
      <c r="BM55" s="39"/>
      <c r="BN55" s="39"/>
      <c r="BO55" s="39"/>
      <c r="BP55" s="39"/>
      <c r="BQ55" s="41"/>
      <c r="BR55" s="43"/>
      <c r="BS55" s="39"/>
      <c r="BT55" s="39"/>
      <c r="BU55" s="39"/>
      <c r="BV55" s="39"/>
      <c r="BW55" s="41"/>
      <c r="BX55" s="43"/>
      <c r="BY55" s="39"/>
      <c r="BZ55" s="41"/>
      <c r="CA55" s="38"/>
      <c r="CB55" s="38"/>
      <c r="CC55" s="41"/>
      <c r="CD55" s="43"/>
      <c r="CE55" s="41"/>
    </row>
    <row r="56" spans="1:83" x14ac:dyDescent="0.3">
      <c r="A56" s="38"/>
      <c r="E56" s="41"/>
      <c r="F56" s="41"/>
      <c r="H56" s="39"/>
      <c r="I56" s="39"/>
      <c r="J56" s="39"/>
      <c r="AQ56" s="39"/>
      <c r="AR56" s="39"/>
      <c r="AS56" s="39"/>
      <c r="AT56" s="39"/>
      <c r="AU56" s="39"/>
      <c r="AV56" s="39"/>
      <c r="AX56" s="39"/>
      <c r="BC56" s="39"/>
      <c r="BD56" s="41"/>
      <c r="BE56" s="41"/>
      <c r="BI56" s="5"/>
      <c r="BJ56" s="5"/>
      <c r="BM56" s="39"/>
      <c r="BN56" s="39"/>
      <c r="BO56" s="39"/>
      <c r="BP56" s="39"/>
      <c r="BQ56" s="41"/>
      <c r="BR56" s="43"/>
      <c r="BS56" s="39"/>
      <c r="BT56" s="39"/>
      <c r="BU56" s="39"/>
      <c r="BV56" s="39"/>
      <c r="BW56" s="41"/>
      <c r="BX56" s="43"/>
      <c r="BY56" s="39"/>
      <c r="BZ56" s="41"/>
      <c r="CA56" s="38"/>
      <c r="CB56" s="38"/>
      <c r="CC56" s="41"/>
      <c r="CD56" s="43"/>
      <c r="CE56" s="41"/>
    </row>
    <row r="57" spans="1:83" x14ac:dyDescent="0.3">
      <c r="A57" s="38"/>
      <c r="E57" s="41"/>
      <c r="F57" s="41"/>
      <c r="H57" s="39"/>
      <c r="I57" s="39"/>
      <c r="J57" s="39"/>
      <c r="AQ57" s="39"/>
      <c r="AR57" s="39"/>
      <c r="AS57" s="39"/>
      <c r="AT57" s="39"/>
      <c r="AU57" s="39"/>
      <c r="AV57" s="39"/>
      <c r="AX57" s="39"/>
      <c r="BC57" s="39"/>
      <c r="BD57" s="41"/>
      <c r="BE57" s="41"/>
      <c r="BI57" s="5"/>
      <c r="BJ57" s="5"/>
      <c r="BM57" s="39"/>
      <c r="BN57" s="39"/>
      <c r="BO57" s="39"/>
      <c r="BP57" s="39"/>
      <c r="BQ57" s="41"/>
      <c r="BR57" s="43"/>
      <c r="BS57" s="39"/>
      <c r="BT57" s="39"/>
      <c r="BU57" s="39"/>
      <c r="BV57" s="39"/>
      <c r="BW57" s="41"/>
      <c r="BX57" s="43"/>
      <c r="BY57" s="39"/>
      <c r="BZ57" s="41"/>
      <c r="CA57" s="38"/>
      <c r="CB57" s="38"/>
      <c r="CC57" s="41"/>
      <c r="CD57" s="43"/>
      <c r="CE57" s="41"/>
    </row>
    <row r="58" spans="1:83" x14ac:dyDescent="0.3">
      <c r="A58" s="38"/>
      <c r="E58" s="41"/>
      <c r="F58" s="41"/>
      <c r="H58" s="39"/>
      <c r="I58" s="39"/>
      <c r="J58" s="39"/>
      <c r="AQ58" s="39"/>
      <c r="AR58" s="39"/>
      <c r="AS58" s="39"/>
      <c r="AT58" s="39"/>
      <c r="AU58" s="39"/>
      <c r="AV58" s="39"/>
      <c r="AX58" s="39"/>
      <c r="BC58" s="39"/>
      <c r="BD58" s="41"/>
      <c r="BE58" s="41"/>
      <c r="BI58" s="5"/>
      <c r="BJ58" s="5"/>
    </row>
    <row r="59" spans="1:83" x14ac:dyDescent="0.3">
      <c r="A59" s="38"/>
      <c r="E59" s="41"/>
      <c r="F59" s="41"/>
      <c r="H59" s="39"/>
      <c r="I59" s="39"/>
      <c r="J59" s="39"/>
      <c r="AQ59" s="39"/>
      <c r="AR59" s="39"/>
      <c r="AS59" s="39"/>
      <c r="AT59" s="39"/>
      <c r="AU59" s="39"/>
      <c r="AV59" s="39"/>
      <c r="AX59" s="39"/>
      <c r="BC59" s="39"/>
      <c r="BD59" s="41"/>
      <c r="BE59" s="41"/>
      <c r="BI59" s="5"/>
      <c r="BJ59" s="5"/>
    </row>
    <row r="60" spans="1:83" x14ac:dyDescent="0.3">
      <c r="A60" s="38"/>
      <c r="E60" s="41"/>
      <c r="F60" s="41"/>
      <c r="H60" s="39"/>
      <c r="I60" s="39"/>
      <c r="J60" s="39"/>
      <c r="AQ60" s="39"/>
      <c r="AR60" s="39"/>
      <c r="AS60" s="39"/>
      <c r="AT60" s="39"/>
      <c r="AU60" s="39"/>
      <c r="AV60" s="39"/>
      <c r="AX60" s="39"/>
      <c r="BC60" s="39"/>
      <c r="BD60" s="41"/>
      <c r="BE60" s="41"/>
      <c r="BI60" s="5"/>
      <c r="BJ60" s="5"/>
    </row>
    <row r="61" spans="1:83" x14ac:dyDescent="0.3">
      <c r="A61" s="38"/>
      <c r="E61" s="41"/>
      <c r="F61" s="41"/>
      <c r="H61" s="39"/>
      <c r="I61" s="39"/>
      <c r="J61" s="39"/>
      <c r="AQ61" s="39"/>
      <c r="AR61" s="39"/>
      <c r="AS61" s="39"/>
      <c r="AT61" s="39"/>
      <c r="AU61" s="39"/>
      <c r="AV61" s="39"/>
      <c r="AX61" s="39"/>
      <c r="BC61" s="39"/>
      <c r="BD61" s="41"/>
      <c r="BE61" s="41"/>
      <c r="BI61" s="5"/>
      <c r="BJ61" s="5"/>
    </row>
    <row r="62" spans="1:83" x14ac:dyDescent="0.3">
      <c r="A62" s="38"/>
      <c r="E62" s="41"/>
      <c r="F62" s="41"/>
      <c r="H62" s="39"/>
      <c r="I62" s="39"/>
      <c r="J62" s="39"/>
      <c r="AQ62" s="39"/>
      <c r="AR62" s="39"/>
      <c r="AS62" s="39"/>
      <c r="AT62" s="39"/>
      <c r="AU62" s="39"/>
      <c r="AV62" s="39"/>
      <c r="AX62" s="39"/>
      <c r="BC62" s="39"/>
      <c r="BD62" s="41"/>
      <c r="BE62" s="41"/>
      <c r="BI62" s="5"/>
      <c r="BJ62" s="5"/>
    </row>
    <row r="63" spans="1:83" x14ac:dyDescent="0.3">
      <c r="A63" s="38"/>
      <c r="E63" s="41"/>
      <c r="F63" s="41"/>
      <c r="H63" s="39"/>
      <c r="I63" s="39"/>
      <c r="J63" s="39"/>
      <c r="AQ63" s="39"/>
      <c r="AR63" s="39"/>
      <c r="AS63" s="39"/>
      <c r="AT63" s="39"/>
      <c r="AU63" s="39"/>
      <c r="AV63" s="39"/>
      <c r="AX63" s="39"/>
      <c r="BC63" s="39"/>
      <c r="BD63" s="41"/>
      <c r="BE63" s="41"/>
      <c r="BI63" s="5"/>
      <c r="BJ63" s="5"/>
    </row>
    <row r="64" spans="1:83" x14ac:dyDescent="0.3">
      <c r="A64" s="38"/>
      <c r="E64" s="41"/>
      <c r="F64" s="41"/>
      <c r="H64" s="39"/>
      <c r="I64" s="39"/>
      <c r="J64" s="39"/>
      <c r="AQ64" s="39"/>
      <c r="AR64" s="39"/>
      <c r="AS64" s="39"/>
      <c r="AT64" s="39"/>
      <c r="AU64" s="39"/>
      <c r="AV64" s="39"/>
      <c r="AX64" s="39"/>
      <c r="BC64" s="39"/>
      <c r="BD64" s="41"/>
      <c r="BE64" s="41"/>
      <c r="BI64" s="5"/>
      <c r="BJ64" s="5"/>
    </row>
    <row r="65" spans="1:83" x14ac:dyDescent="0.3">
      <c r="A65" s="38"/>
      <c r="E65" s="41"/>
      <c r="F65" s="41"/>
      <c r="H65" s="39"/>
      <c r="I65" s="39"/>
      <c r="J65" s="39"/>
      <c r="AQ65" s="39"/>
      <c r="AR65" s="39"/>
      <c r="AS65" s="39"/>
      <c r="AT65" s="39"/>
      <c r="AU65" s="39"/>
      <c r="AV65" s="39"/>
      <c r="AX65" s="39"/>
      <c r="BC65" s="39"/>
      <c r="BD65" s="41"/>
      <c r="BE65" s="41"/>
      <c r="BI65" s="5"/>
      <c r="BJ65" s="5"/>
    </row>
    <row r="66" spans="1:83" x14ac:dyDescent="0.3">
      <c r="A66" s="38"/>
      <c r="E66" s="41"/>
      <c r="F66" s="41"/>
      <c r="H66" s="39"/>
      <c r="I66" s="39"/>
      <c r="J66" s="39"/>
      <c r="AQ66" s="39"/>
      <c r="AR66" s="39"/>
      <c r="AS66" s="39"/>
      <c r="AT66" s="39"/>
      <c r="AU66" s="39"/>
      <c r="AV66" s="39"/>
      <c r="AX66" s="39"/>
      <c r="BC66" s="39"/>
      <c r="BD66" s="41"/>
      <c r="BE66" s="41"/>
      <c r="BI66" s="5"/>
      <c r="BJ66" s="5"/>
    </row>
    <row r="67" spans="1:83" x14ac:dyDescent="0.3">
      <c r="A67" s="38"/>
      <c r="E67" s="41"/>
      <c r="F67" s="41"/>
      <c r="H67" s="39"/>
      <c r="I67" s="39"/>
      <c r="J67" s="39"/>
      <c r="AQ67" s="39"/>
      <c r="AR67" s="39"/>
      <c r="AS67" s="39"/>
      <c r="AT67" s="39"/>
      <c r="AU67" s="39"/>
      <c r="AV67" s="39"/>
      <c r="AX67" s="39"/>
      <c r="BC67" s="39"/>
      <c r="BD67" s="41"/>
      <c r="BE67" s="41"/>
      <c r="BI67" s="5"/>
      <c r="BJ67" s="5"/>
      <c r="BM67" s="39"/>
      <c r="BN67" s="39"/>
      <c r="BO67" s="39"/>
      <c r="BP67" s="39"/>
      <c r="BQ67" s="41"/>
      <c r="BR67" s="43"/>
      <c r="BS67" s="39"/>
      <c r="BT67" s="39"/>
      <c r="BU67" s="39"/>
      <c r="BV67" s="39"/>
      <c r="BW67" s="41"/>
      <c r="BX67" s="43"/>
      <c r="BY67" s="39"/>
      <c r="BZ67" s="41"/>
      <c r="CA67" s="38"/>
      <c r="CB67" s="38"/>
      <c r="CC67" s="41"/>
      <c r="CD67" s="43"/>
      <c r="CE67" s="41"/>
    </row>
    <row r="68" spans="1:83" x14ac:dyDescent="0.3">
      <c r="A68" s="38"/>
      <c r="E68" s="41"/>
      <c r="F68" s="41"/>
      <c r="H68" s="39"/>
      <c r="I68" s="39"/>
      <c r="J68" s="39"/>
      <c r="AQ68" s="39"/>
      <c r="AR68" s="39"/>
      <c r="AS68" s="39"/>
      <c r="AT68" s="39"/>
      <c r="AU68" s="39"/>
      <c r="AV68" s="39"/>
      <c r="AX68" s="39"/>
      <c r="BC68" s="39"/>
      <c r="BD68" s="41"/>
      <c r="BE68" s="41"/>
      <c r="BI68" s="5"/>
      <c r="BJ68" s="5"/>
      <c r="BM68" s="39"/>
      <c r="BN68" s="39"/>
      <c r="BO68" s="39"/>
      <c r="BP68" s="39"/>
      <c r="BQ68" s="41"/>
      <c r="BR68" s="43"/>
      <c r="BS68" s="39"/>
      <c r="BT68" s="39"/>
      <c r="BU68" s="39"/>
      <c r="BV68" s="39"/>
      <c r="BW68" s="41"/>
      <c r="BX68" s="43"/>
      <c r="BY68" s="39"/>
      <c r="BZ68" s="41"/>
      <c r="CA68" s="38"/>
      <c r="CB68" s="38"/>
      <c r="CC68" s="41"/>
      <c r="CD68" s="43"/>
      <c r="CE68" s="41"/>
    </row>
    <row r="69" spans="1:83" x14ac:dyDescent="0.3">
      <c r="A69" s="38"/>
      <c r="E69" s="41"/>
      <c r="F69" s="41"/>
      <c r="H69" s="39"/>
      <c r="I69" s="39"/>
      <c r="J69" s="39"/>
      <c r="AQ69" s="39"/>
      <c r="AR69" s="39"/>
      <c r="AS69" s="39"/>
      <c r="AT69" s="39"/>
      <c r="AU69" s="39"/>
      <c r="AV69" s="39"/>
      <c r="AX69" s="39"/>
      <c r="BC69" s="39"/>
      <c r="BD69" s="41"/>
      <c r="BE69" s="41"/>
      <c r="BI69" s="5"/>
      <c r="BJ69" s="5"/>
    </row>
    <row r="70" spans="1:83" x14ac:dyDescent="0.3">
      <c r="A70" s="38"/>
      <c r="E70" s="41"/>
      <c r="F70" s="41"/>
      <c r="H70" s="39"/>
      <c r="I70" s="39"/>
      <c r="J70" s="39"/>
      <c r="AQ70" s="39"/>
      <c r="AR70" s="39"/>
      <c r="AS70" s="39"/>
      <c r="AT70" s="39"/>
      <c r="AU70" s="39"/>
      <c r="AV70" s="39"/>
      <c r="AX70" s="39"/>
      <c r="BC70" s="39"/>
      <c r="BD70" s="41"/>
      <c r="BE70" s="41"/>
      <c r="BI70" s="5"/>
      <c r="BJ70" s="5"/>
    </row>
    <row r="71" spans="1:83" x14ac:dyDescent="0.3">
      <c r="A71" s="38"/>
      <c r="E71" s="41"/>
      <c r="F71" s="41"/>
      <c r="H71" s="39"/>
      <c r="I71" s="39"/>
      <c r="J71" s="39"/>
      <c r="AQ71" s="39"/>
      <c r="AR71" s="39"/>
      <c r="AS71" s="39"/>
      <c r="AT71" s="39"/>
      <c r="AU71" s="39"/>
      <c r="AV71" s="39"/>
      <c r="AX71" s="39"/>
      <c r="BC71" s="39"/>
      <c r="BD71" s="41"/>
      <c r="BE71" s="41"/>
      <c r="BI71" s="5"/>
      <c r="BJ71" s="5"/>
    </row>
    <row r="72" spans="1:83" x14ac:dyDescent="0.3">
      <c r="A72" s="38"/>
      <c r="E72" s="41"/>
      <c r="F72" s="41"/>
      <c r="H72" s="39"/>
      <c r="I72" s="39"/>
      <c r="J72" s="39"/>
      <c r="AQ72" s="39"/>
      <c r="AR72" s="39"/>
      <c r="AS72" s="39"/>
      <c r="AT72" s="39"/>
      <c r="AU72" s="39"/>
      <c r="AV72" s="39"/>
      <c r="AX72" s="39"/>
      <c r="BC72" s="39"/>
      <c r="BD72" s="41"/>
      <c r="BE72" s="41"/>
      <c r="BI72" s="5"/>
      <c r="BJ72" s="5"/>
    </row>
    <row r="73" spans="1:83" x14ac:dyDescent="0.3">
      <c r="A73" s="38"/>
      <c r="E73" s="41"/>
      <c r="F73" s="41"/>
      <c r="H73" s="39"/>
      <c r="I73" s="39"/>
      <c r="J73" s="39"/>
      <c r="AQ73" s="39"/>
      <c r="AR73" s="39"/>
      <c r="AS73" s="39"/>
      <c r="AT73" s="39"/>
      <c r="AU73" s="39"/>
      <c r="AV73" s="39"/>
      <c r="AX73" s="39"/>
      <c r="BC73" s="39"/>
      <c r="BD73" s="41"/>
      <c r="BE73" s="41"/>
      <c r="BI73" s="5"/>
      <c r="BJ73" s="5"/>
    </row>
    <row r="74" spans="1:83" x14ac:dyDescent="0.3">
      <c r="A74" s="38"/>
      <c r="E74" s="41"/>
      <c r="F74" s="41"/>
      <c r="H74" s="39"/>
      <c r="I74" s="39"/>
      <c r="J74" s="39"/>
      <c r="AQ74" s="39"/>
      <c r="AR74" s="39"/>
      <c r="AS74" s="39"/>
      <c r="AT74" s="39"/>
      <c r="AU74" s="39"/>
      <c r="AV74" s="39"/>
      <c r="AX74" s="39"/>
      <c r="BC74" s="39"/>
      <c r="BD74" s="41"/>
      <c r="BE74" s="41"/>
      <c r="BI74" s="5"/>
      <c r="BJ74" s="5"/>
    </row>
    <row r="75" spans="1:83" x14ac:dyDescent="0.3">
      <c r="A75" s="38"/>
      <c r="E75" s="41"/>
      <c r="F75" s="41"/>
      <c r="H75" s="39"/>
      <c r="I75" s="39"/>
      <c r="J75" s="39"/>
      <c r="AQ75" s="39"/>
      <c r="AR75" s="39"/>
      <c r="AS75" s="39"/>
      <c r="AT75" s="39"/>
      <c r="AU75" s="39"/>
      <c r="AV75" s="39"/>
      <c r="AX75" s="39"/>
      <c r="BC75" s="39"/>
      <c r="BD75" s="41"/>
      <c r="BE75" s="41"/>
      <c r="BI75" s="5"/>
      <c r="BJ75" s="5"/>
    </row>
    <row r="76" spans="1:83" x14ac:dyDescent="0.3">
      <c r="A76" s="38"/>
      <c r="E76" s="41"/>
      <c r="F76" s="41"/>
      <c r="H76" s="39"/>
      <c r="I76" s="39"/>
      <c r="J76" s="39"/>
      <c r="AQ76" s="39"/>
      <c r="AR76" s="39"/>
      <c r="AS76" s="39"/>
      <c r="AT76" s="39"/>
      <c r="AU76" s="39"/>
      <c r="AV76" s="39"/>
      <c r="AX76" s="39"/>
      <c r="BC76" s="39"/>
      <c r="BD76" s="41"/>
      <c r="BE76" s="41"/>
      <c r="BI76" s="5"/>
      <c r="BJ76" s="5"/>
    </row>
    <row r="77" spans="1:83" x14ac:dyDescent="0.3">
      <c r="A77" s="38"/>
      <c r="E77" s="41"/>
      <c r="F77" s="41"/>
      <c r="H77" s="39"/>
      <c r="I77" s="39"/>
      <c r="J77" s="39"/>
      <c r="AQ77" s="39"/>
      <c r="AR77" s="39"/>
      <c r="AS77" s="39"/>
      <c r="AT77" s="39"/>
      <c r="AU77" s="39"/>
      <c r="AV77" s="39"/>
      <c r="AX77" s="39"/>
      <c r="BC77" s="39"/>
      <c r="BD77" s="41"/>
      <c r="BE77" s="41"/>
      <c r="BI77" s="5"/>
      <c r="BJ77" s="5"/>
    </row>
    <row r="78" spans="1:83" x14ac:dyDescent="0.3">
      <c r="A78" s="38"/>
      <c r="E78" s="41"/>
      <c r="F78" s="41"/>
      <c r="H78" s="39"/>
      <c r="I78" s="39"/>
      <c r="J78" s="39"/>
      <c r="AQ78" s="39"/>
      <c r="AR78" s="39"/>
      <c r="AS78" s="39"/>
      <c r="AT78" s="39"/>
      <c r="AU78" s="39"/>
      <c r="AV78" s="39"/>
      <c r="AX78" s="39"/>
      <c r="BC78" s="39"/>
      <c r="BD78" s="41"/>
      <c r="BE78" s="41"/>
      <c r="BI78" s="5"/>
      <c r="BJ78" s="5"/>
    </row>
    <row r="79" spans="1:83" x14ac:dyDescent="0.3">
      <c r="A79" s="38"/>
      <c r="E79" s="41"/>
      <c r="F79" s="41"/>
      <c r="H79" s="39"/>
      <c r="I79" s="39"/>
      <c r="J79" s="39"/>
      <c r="AQ79" s="39"/>
      <c r="AR79" s="39"/>
      <c r="AS79" s="39"/>
      <c r="AT79" s="39"/>
      <c r="AU79" s="39"/>
      <c r="AV79" s="39"/>
      <c r="AX79" s="39"/>
      <c r="BC79" s="39"/>
      <c r="BD79" s="41"/>
      <c r="BE79" s="41"/>
      <c r="BI79" s="5"/>
      <c r="BJ79" s="5"/>
    </row>
    <row r="80" spans="1:83" x14ac:dyDescent="0.3">
      <c r="A80" s="38"/>
      <c r="E80" s="41"/>
      <c r="F80" s="41"/>
      <c r="H80" s="39"/>
      <c r="I80" s="39"/>
      <c r="J80" s="39"/>
      <c r="AQ80" s="39"/>
      <c r="AR80" s="39"/>
      <c r="AS80" s="39"/>
      <c r="AT80" s="39"/>
      <c r="AU80" s="39"/>
      <c r="AV80" s="39"/>
      <c r="AX80" s="39"/>
      <c r="BC80" s="39"/>
      <c r="BD80" s="41"/>
      <c r="BE80" s="41"/>
      <c r="BI80" s="5"/>
      <c r="BJ80" s="5"/>
    </row>
    <row r="81" spans="1:62" x14ac:dyDescent="0.3">
      <c r="A81" s="38"/>
      <c r="E81" s="41"/>
      <c r="F81" s="41"/>
      <c r="H81" s="39"/>
      <c r="I81" s="39"/>
      <c r="J81" s="39"/>
      <c r="AQ81" s="39"/>
      <c r="AR81" s="39"/>
      <c r="AS81" s="39"/>
      <c r="AT81" s="39"/>
      <c r="AU81" s="39"/>
      <c r="AV81" s="39"/>
      <c r="AX81" s="39"/>
      <c r="BC81" s="39"/>
      <c r="BD81" s="41"/>
      <c r="BE81" s="41"/>
      <c r="BI81" s="5"/>
      <c r="BJ81" s="5"/>
    </row>
    <row r="82" spans="1:62" x14ac:dyDescent="0.3">
      <c r="A82" s="38"/>
      <c r="E82" s="41"/>
      <c r="F82" s="41"/>
      <c r="H82" s="39"/>
      <c r="I82" s="39"/>
      <c r="J82" s="39"/>
      <c r="AQ82" s="39"/>
      <c r="AR82" s="39"/>
      <c r="AS82" s="39"/>
      <c r="AT82" s="39"/>
      <c r="AU82" s="39"/>
      <c r="AV82" s="39"/>
      <c r="AX82" s="39"/>
      <c r="BC82" s="39"/>
      <c r="BD82" s="41"/>
      <c r="BE82" s="41"/>
      <c r="BI82" s="5"/>
      <c r="BJ82" s="5"/>
    </row>
    <row r="83" spans="1:62" x14ac:dyDescent="0.3">
      <c r="A83" s="38"/>
      <c r="E83" s="41"/>
      <c r="F83" s="41"/>
      <c r="H83" s="39"/>
      <c r="I83" s="39"/>
      <c r="J83" s="39"/>
      <c r="AQ83" s="39"/>
      <c r="AR83" s="39"/>
      <c r="AS83" s="39"/>
      <c r="AT83" s="39"/>
      <c r="AU83" s="39"/>
      <c r="AV83" s="39"/>
      <c r="AX83" s="39"/>
      <c r="BC83" s="39"/>
      <c r="BD83" s="41"/>
      <c r="BE83" s="41"/>
      <c r="BI83" s="5"/>
      <c r="BJ83" s="5"/>
    </row>
    <row r="84" spans="1:62" x14ac:dyDescent="0.3">
      <c r="A84" s="38"/>
      <c r="E84" s="41"/>
      <c r="F84" s="41"/>
      <c r="H84" s="39"/>
      <c r="I84" s="39"/>
      <c r="J84" s="39"/>
      <c r="AQ84" s="39"/>
      <c r="AR84" s="39"/>
      <c r="AS84" s="39"/>
      <c r="AT84" s="39"/>
      <c r="AU84" s="39"/>
      <c r="AV84" s="39"/>
      <c r="AX84" s="39"/>
      <c r="BC84" s="39"/>
      <c r="BD84" s="41"/>
      <c r="BE84" s="41"/>
      <c r="BI84" s="5"/>
      <c r="BJ84" s="5"/>
    </row>
    <row r="85" spans="1:62" x14ac:dyDescent="0.3">
      <c r="A85" s="38"/>
      <c r="E85" s="41"/>
      <c r="F85" s="41"/>
      <c r="H85" s="39"/>
      <c r="I85" s="39"/>
      <c r="J85" s="39"/>
      <c r="AQ85" s="39"/>
      <c r="AR85" s="39"/>
      <c r="AS85" s="39"/>
      <c r="AT85" s="39"/>
      <c r="AU85" s="39"/>
      <c r="AV85" s="39"/>
      <c r="AX85" s="39"/>
      <c r="BC85" s="39"/>
      <c r="BD85" s="41"/>
      <c r="BE85" s="41"/>
      <c r="BI85" s="5"/>
      <c r="BJ85" s="5"/>
    </row>
    <row r="86" spans="1:62" x14ac:dyDescent="0.3">
      <c r="A86" s="38"/>
      <c r="E86" s="41"/>
      <c r="F86" s="41"/>
      <c r="H86" s="39"/>
      <c r="I86" s="39"/>
      <c r="J86" s="39"/>
      <c r="AQ86" s="39"/>
      <c r="AR86" s="39"/>
      <c r="AS86" s="39"/>
      <c r="AT86" s="39"/>
      <c r="AU86" s="39"/>
      <c r="AV86" s="39"/>
      <c r="AX86" s="39"/>
      <c r="BC86" s="39"/>
      <c r="BD86" s="41"/>
      <c r="BE86" s="41"/>
      <c r="BI86" s="5"/>
      <c r="BJ86" s="5"/>
    </row>
    <row r="87" spans="1:62" x14ac:dyDescent="0.3">
      <c r="A87" s="38"/>
      <c r="E87" s="41"/>
      <c r="F87" s="41"/>
      <c r="H87" s="39"/>
      <c r="I87" s="39"/>
      <c r="J87" s="39"/>
      <c r="AQ87" s="39"/>
      <c r="AR87" s="39"/>
      <c r="AS87" s="39"/>
      <c r="AT87" s="39"/>
      <c r="AU87" s="39"/>
      <c r="AV87" s="39"/>
      <c r="AX87" s="39"/>
      <c r="BC87" s="39"/>
      <c r="BD87" s="41"/>
      <c r="BE87" s="41"/>
      <c r="BI87" s="5"/>
      <c r="BJ87" s="5"/>
    </row>
    <row r="88" spans="1:62" x14ac:dyDescent="0.3">
      <c r="A88" s="38"/>
      <c r="E88" s="41"/>
      <c r="F88" s="41"/>
      <c r="H88" s="39"/>
      <c r="I88" s="39"/>
      <c r="J88" s="39"/>
      <c r="AQ88" s="39"/>
      <c r="AR88" s="39"/>
      <c r="AS88" s="39"/>
      <c r="AT88" s="39"/>
      <c r="AU88" s="39"/>
      <c r="AV88" s="39"/>
      <c r="AX88" s="39"/>
      <c r="BC88" s="39"/>
      <c r="BD88" s="41"/>
      <c r="BE88" s="41"/>
      <c r="BI88" s="5"/>
      <c r="BJ88" s="5"/>
    </row>
    <row r="1048198" spans="44:66" x14ac:dyDescent="0.3">
      <c r="AR1048198" s="39"/>
      <c r="BN1048198" s="39"/>
    </row>
  </sheetData>
  <autoFilter ref="A1:AMJ24" xr:uid="{00000000-0001-0000-0000-000000000000}"/>
  <conditionalFormatting sqref="AK3:AN3 AK4:AK24 AM4:AN24">
    <cfRule type="containsText" dxfId="0" priority="2" operator="containsText" text="TBC">
      <formula>NOT(ISERROR(SEARCH("TBC",AK3)))</formula>
    </cfRule>
  </conditionalFormatting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1"/>
  <sheetViews>
    <sheetView tabSelected="1" zoomScaleNormal="100" workbookViewId="0">
      <pane ySplit="1" topLeftCell="A2" activePane="bottomLeft" state="frozen"/>
      <selection pane="bottomLeft" activeCell="T26" sqref="T26"/>
    </sheetView>
  </sheetViews>
  <sheetFormatPr baseColWidth="10" defaultColWidth="8.44140625" defaultRowHeight="11.25" customHeight="1" x14ac:dyDescent="0.3"/>
  <cols>
    <col min="1" max="1" width="7" style="1" customWidth="1"/>
    <col min="2" max="2" width="7.109375" style="1" customWidth="1"/>
    <col min="3" max="3" width="12.44140625" style="2" customWidth="1"/>
    <col min="4" max="4" width="12.44140625" style="9" customWidth="1"/>
    <col min="5" max="5" width="8.109375" style="9" customWidth="1"/>
    <col min="6" max="6" width="8.33203125" style="9" customWidth="1"/>
    <col min="7" max="7" width="17" style="1" customWidth="1"/>
    <col min="8" max="8" width="7.6640625" style="1" customWidth="1"/>
    <col min="9" max="9" width="14.44140625" style="1" customWidth="1"/>
    <col min="10" max="10" width="7" style="1" customWidth="1"/>
    <col min="11" max="11" width="17.33203125" style="2" customWidth="1"/>
    <col min="12" max="12" width="14.44140625" style="2" customWidth="1"/>
    <col min="13" max="13" width="11" style="1" customWidth="1"/>
    <col min="14" max="14" width="11.109375" style="2" customWidth="1"/>
    <col min="15" max="15" width="16.6640625" style="2" customWidth="1"/>
    <col min="16" max="16" width="9.6640625" style="1" customWidth="1"/>
    <col min="17" max="17" width="9" style="9" customWidth="1"/>
    <col min="18" max="18" width="13" style="10" customWidth="1"/>
    <col min="19" max="19" width="13.44140625" style="10" customWidth="1"/>
    <col min="20" max="20" width="16" style="10" customWidth="1"/>
    <col min="21" max="21" width="13.5546875" style="10" customWidth="1"/>
    <col min="22" max="22" width="23.44140625" style="10" customWidth="1"/>
    <col min="23" max="23" width="14.109375" style="10" customWidth="1"/>
    <col min="24" max="24" width="14.6640625" style="1" customWidth="1"/>
    <col min="25" max="25" width="13.6640625" style="2" customWidth="1"/>
    <col min="26" max="26" width="15.109375" style="3" customWidth="1"/>
    <col min="27" max="27" width="15.109375" style="10" customWidth="1"/>
    <col min="28" max="28" width="21" style="10" customWidth="1"/>
    <col min="29" max="29" width="17.33203125" style="5" customWidth="1"/>
    <col min="30" max="30" width="17.33203125" style="63" customWidth="1"/>
    <col min="31" max="31" width="10.5546875" style="82" customWidth="1"/>
    <col min="32" max="32" width="11.44140625" style="10" customWidth="1"/>
    <col min="33" max="34" width="11.6640625" style="10" customWidth="1"/>
    <col min="35" max="35" width="12" style="2" customWidth="1"/>
    <col min="36" max="36" width="12" style="10" customWidth="1"/>
    <col min="37" max="37" width="13.5546875" style="62" customWidth="1"/>
    <col min="38" max="38" width="15.109375" style="10" customWidth="1"/>
    <col min="39" max="39" width="8.6640625" style="64" customWidth="1"/>
    <col min="40" max="40" width="9" style="64" customWidth="1"/>
    <col min="41" max="41" width="14.109375" style="10" customWidth="1"/>
    <col min="42" max="42" width="13.88671875" style="10" customWidth="1"/>
    <col min="43" max="43" width="18" style="10" customWidth="1"/>
    <col min="44" max="44" width="8.6640625" style="64" customWidth="1"/>
    <col min="45" max="45" width="9.88671875" style="64" customWidth="1"/>
    <col min="46" max="46" width="16.109375" style="10" customWidth="1"/>
    <col min="47" max="47" width="17.88671875" style="10" customWidth="1"/>
    <col min="48" max="48" width="13.44140625" style="10" customWidth="1"/>
    <col min="49" max="49" width="8.6640625" style="64" customWidth="1"/>
    <col min="50" max="50" width="9.88671875" style="64" customWidth="1"/>
    <col min="51" max="52" width="13.88671875" style="10" customWidth="1"/>
    <col min="53" max="53" width="11.33203125" style="1" customWidth="1"/>
    <col min="54" max="54" width="16.5546875" style="1" customWidth="1"/>
    <col min="55" max="55" width="10.5546875" style="1" customWidth="1"/>
    <col min="56" max="56" width="17.44140625" style="1" customWidth="1"/>
    <col min="57" max="57" width="13" style="5" customWidth="1"/>
    <col min="58" max="58" width="14" style="5" customWidth="1"/>
    <col min="59" max="59" width="11.109375" style="1" customWidth="1"/>
    <col min="60" max="60" width="17.44140625" style="1" customWidth="1"/>
    <col min="61" max="61" width="9.88671875" style="1" customWidth="1"/>
    <col min="62" max="62" width="17.109375" style="9" customWidth="1"/>
    <col min="63" max="63" width="11.6640625" style="5" customWidth="1"/>
    <col min="64" max="64" width="13.33203125" style="6" customWidth="1"/>
    <col min="65" max="65" width="14.109375" style="1" customWidth="1"/>
    <col min="66" max="66" width="15.5546875" style="9" customWidth="1"/>
    <col min="67" max="67" width="10.6640625" style="1" customWidth="1"/>
    <col min="68" max="68" width="16" style="1" customWidth="1"/>
    <col min="69" max="69" width="12.109375" style="9" customWidth="1"/>
    <col min="70" max="70" width="14.6640625" style="6" customWidth="1"/>
    <col min="71" max="71" width="11" style="9" customWidth="1"/>
    <col min="72" max="72" width="12.6640625" style="9" bestFit="1" customWidth="1"/>
    <col min="73" max="73" width="9.6640625" style="9" customWidth="1"/>
    <col min="74" max="74" width="12.77734375" style="9" bestFit="1" customWidth="1"/>
    <col min="75" max="75" width="10.44140625" style="9" customWidth="1"/>
    <col min="76" max="76" width="13" style="6" customWidth="1"/>
    <col min="77" max="77" width="19.33203125" style="1" customWidth="1"/>
    <col min="78" max="78" width="18.6640625" style="10" customWidth="1"/>
    <col min="79" max="79" width="11" style="64" customWidth="1"/>
    <col min="80" max="80" width="10.33203125" style="64" customWidth="1"/>
    <col min="81" max="81" width="9.44140625" style="10" customWidth="1"/>
    <col min="82" max="82" width="30.109375" style="10" customWidth="1"/>
    <col min="83" max="83" width="11.88671875" style="64" customWidth="1"/>
    <col min="84" max="84" width="11.109375" style="64" customWidth="1"/>
    <col min="85" max="85" width="10.44140625" style="10" customWidth="1"/>
    <col min="86" max="86" width="28.33203125" style="10" customWidth="1"/>
    <col min="87" max="87" width="11.88671875" style="10" customWidth="1"/>
    <col min="88" max="88" width="11.109375" style="10" customWidth="1"/>
    <col min="89" max="89" width="10.44140625" style="10" customWidth="1"/>
    <col min="90" max="90" width="12.44140625" style="1" customWidth="1"/>
    <col min="91" max="91" width="9.88671875" style="1" customWidth="1"/>
    <col min="92" max="92" width="12.44140625" style="1" customWidth="1"/>
    <col min="93" max="93" width="8.44140625" style="4"/>
    <col min="94" max="94" width="11.33203125" style="1" customWidth="1"/>
    <col min="95" max="95" width="10.109375" style="10" customWidth="1"/>
    <col min="96" max="1024" width="8.44140625" style="10"/>
  </cols>
  <sheetData>
    <row r="1" spans="1:1024" ht="11.25" customHeight="1" x14ac:dyDescent="0.3">
      <c r="A1" s="11" t="s">
        <v>0</v>
      </c>
      <c r="B1" s="11" t="s">
        <v>1</v>
      </c>
      <c r="C1" s="12" t="s">
        <v>170</v>
      </c>
      <c r="D1" s="65" t="s">
        <v>171</v>
      </c>
      <c r="E1" s="65" t="s">
        <v>4</v>
      </c>
      <c r="F1" s="65" t="s">
        <v>5</v>
      </c>
      <c r="G1" s="11" t="s">
        <v>172</v>
      </c>
      <c r="H1" s="11" t="s">
        <v>7</v>
      </c>
      <c r="I1" s="15" t="s">
        <v>173</v>
      </c>
      <c r="J1" s="15" t="s">
        <v>9</v>
      </c>
      <c r="K1" s="16" t="s">
        <v>10</v>
      </c>
      <c r="L1" s="16" t="s">
        <v>11</v>
      </c>
      <c r="M1" s="31" t="s">
        <v>12</v>
      </c>
      <c r="N1" s="16" t="s">
        <v>174</v>
      </c>
      <c r="O1" s="16" t="s">
        <v>14</v>
      </c>
      <c r="P1" s="17" t="s">
        <v>15</v>
      </c>
      <c r="Q1" s="66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11" t="s">
        <v>39</v>
      </c>
      <c r="W1" s="11" t="s">
        <v>40</v>
      </c>
      <c r="X1" s="11" t="s">
        <v>41</v>
      </c>
      <c r="Y1" s="16" t="s">
        <v>36</v>
      </c>
      <c r="Z1" s="67" t="s">
        <v>37</v>
      </c>
      <c r="AA1" s="68" t="s">
        <v>38</v>
      </c>
      <c r="AB1" s="15" t="s">
        <v>33</v>
      </c>
      <c r="AC1" s="24" t="s">
        <v>34</v>
      </c>
      <c r="AD1" s="69" t="s">
        <v>35</v>
      </c>
      <c r="AE1" s="16" t="s">
        <v>42</v>
      </c>
      <c r="AF1" s="31" t="s">
        <v>43</v>
      </c>
      <c r="AG1" s="31" t="s">
        <v>44</v>
      </c>
      <c r="AH1" s="31" t="s">
        <v>45</v>
      </c>
      <c r="AI1" s="16" t="s">
        <v>46</v>
      </c>
      <c r="AJ1" s="31" t="s">
        <v>47</v>
      </c>
      <c r="AK1" s="13" t="s">
        <v>48</v>
      </c>
      <c r="AL1" s="11" t="s">
        <v>49</v>
      </c>
      <c r="AM1" s="30" t="s">
        <v>50</v>
      </c>
      <c r="AN1" s="30" t="s">
        <v>51</v>
      </c>
      <c r="AO1" s="11" t="s">
        <v>52</v>
      </c>
      <c r="AP1" s="11" t="s">
        <v>53</v>
      </c>
      <c r="AQ1" s="11" t="s">
        <v>54</v>
      </c>
      <c r="AR1" s="30" t="s">
        <v>55</v>
      </c>
      <c r="AS1" s="30" t="s">
        <v>56</v>
      </c>
      <c r="AT1" s="11" t="s">
        <v>57</v>
      </c>
      <c r="AU1" s="11" t="s">
        <v>58</v>
      </c>
      <c r="AV1" s="11" t="s">
        <v>59</v>
      </c>
      <c r="AW1" s="30" t="s">
        <v>60</v>
      </c>
      <c r="AX1" s="30" t="s">
        <v>61</v>
      </c>
      <c r="AY1" s="11" t="s">
        <v>62</v>
      </c>
      <c r="AZ1" s="11" t="s">
        <v>63</v>
      </c>
      <c r="BA1" s="31" t="s">
        <v>64</v>
      </c>
      <c r="BB1" s="31" t="s">
        <v>65</v>
      </c>
      <c r="BC1" s="31" t="s">
        <v>66</v>
      </c>
      <c r="BD1" s="31" t="s">
        <v>67</v>
      </c>
      <c r="BE1" s="33" t="s">
        <v>68</v>
      </c>
      <c r="BF1" s="33" t="s">
        <v>69</v>
      </c>
      <c r="BG1" s="31" t="s">
        <v>70</v>
      </c>
      <c r="BH1" s="31" t="s">
        <v>71</v>
      </c>
      <c r="BI1" s="31" t="s">
        <v>72</v>
      </c>
      <c r="BJ1" s="31" t="s">
        <v>73</v>
      </c>
      <c r="BK1" s="33" t="s">
        <v>74</v>
      </c>
      <c r="BL1" s="70" t="s">
        <v>75</v>
      </c>
      <c r="BM1" s="31" t="s">
        <v>76</v>
      </c>
      <c r="BN1" s="31" t="s">
        <v>77</v>
      </c>
      <c r="BO1" s="31" t="s">
        <v>78</v>
      </c>
      <c r="BP1" s="31" t="s">
        <v>79</v>
      </c>
      <c r="BQ1" s="33" t="s">
        <v>80</v>
      </c>
      <c r="BR1" s="70" t="s">
        <v>81</v>
      </c>
      <c r="BS1" s="31" t="s">
        <v>82</v>
      </c>
      <c r="BT1" s="31" t="s">
        <v>83</v>
      </c>
      <c r="BU1" s="31" t="s">
        <v>84</v>
      </c>
      <c r="BV1" s="31" t="s">
        <v>85</v>
      </c>
      <c r="BW1" s="33" t="s">
        <v>86</v>
      </c>
      <c r="BX1" s="70" t="s">
        <v>87</v>
      </c>
      <c r="BY1" s="11" t="s">
        <v>88</v>
      </c>
      <c r="BZ1" s="71" t="s">
        <v>89</v>
      </c>
      <c r="CA1" s="72" t="s">
        <v>90</v>
      </c>
      <c r="CB1" s="72" t="s">
        <v>91</v>
      </c>
      <c r="CC1" s="71" t="s">
        <v>92</v>
      </c>
      <c r="CD1" s="71" t="s">
        <v>93</v>
      </c>
      <c r="CE1" s="72" t="s">
        <v>94</v>
      </c>
      <c r="CF1" s="72" t="s">
        <v>95</v>
      </c>
      <c r="CG1" s="71" t="s">
        <v>96</v>
      </c>
      <c r="CH1" s="71" t="s">
        <v>97</v>
      </c>
      <c r="CI1" s="71" t="s">
        <v>98</v>
      </c>
      <c r="CJ1" s="71" t="s">
        <v>99</v>
      </c>
      <c r="CK1" s="71" t="s">
        <v>100</v>
      </c>
      <c r="CL1" s="34" t="s">
        <v>101</v>
      </c>
      <c r="CM1" s="34" t="s">
        <v>102</v>
      </c>
      <c r="CN1" s="35" t="s">
        <v>103</v>
      </c>
      <c r="CO1" s="36" t="s">
        <v>104</v>
      </c>
      <c r="CP1" s="35" t="s">
        <v>105</v>
      </c>
      <c r="CQ1" s="35" t="s">
        <v>106</v>
      </c>
    </row>
    <row r="2" spans="1:1024" ht="11.25" customHeight="1" x14ac:dyDescent="0.3">
      <c r="A2" s="11" t="s">
        <v>107</v>
      </c>
      <c r="B2" s="11" t="s">
        <v>108</v>
      </c>
      <c r="C2" s="12" t="s">
        <v>109</v>
      </c>
      <c r="D2" s="65" t="s">
        <v>110</v>
      </c>
      <c r="E2" s="65" t="s">
        <v>110</v>
      </c>
      <c r="F2" s="65" t="s">
        <v>110</v>
      </c>
      <c r="G2" s="11" t="s">
        <v>111</v>
      </c>
      <c r="H2" s="11" t="s">
        <v>141</v>
      </c>
      <c r="I2" s="15" t="s">
        <v>113</v>
      </c>
      <c r="J2" s="15" t="s">
        <v>113</v>
      </c>
      <c r="K2" s="16" t="s">
        <v>114</v>
      </c>
      <c r="L2" s="16" t="s">
        <v>115</v>
      </c>
      <c r="M2" s="31" t="s">
        <v>175</v>
      </c>
      <c r="N2" s="16" t="s">
        <v>117</v>
      </c>
      <c r="O2" s="16" t="s">
        <v>118</v>
      </c>
      <c r="P2" s="17" t="s">
        <v>119</v>
      </c>
      <c r="Q2" s="66" t="s">
        <v>110</v>
      </c>
      <c r="R2" s="22" t="s">
        <v>120</v>
      </c>
      <c r="S2" s="22" t="s">
        <v>120</v>
      </c>
      <c r="T2" s="22" t="s">
        <v>120</v>
      </c>
      <c r="U2" s="22" t="s">
        <v>120</v>
      </c>
      <c r="V2" s="11" t="s">
        <v>121</v>
      </c>
      <c r="W2" s="11" t="s">
        <v>110</v>
      </c>
      <c r="X2" s="11" t="s">
        <v>122</v>
      </c>
      <c r="Y2" s="16" t="s">
        <v>121</v>
      </c>
      <c r="Z2" s="67" t="s">
        <v>110</v>
      </c>
      <c r="AA2" s="68" t="s">
        <v>122</v>
      </c>
      <c r="AB2" s="15" t="s">
        <v>121</v>
      </c>
      <c r="AC2" s="24" t="s">
        <v>110</v>
      </c>
      <c r="AD2" s="69" t="s">
        <v>122</v>
      </c>
      <c r="AE2" s="16" t="s">
        <v>123</v>
      </c>
      <c r="AF2" s="31" t="s">
        <v>124</v>
      </c>
      <c r="AG2" s="31" t="s">
        <v>125</v>
      </c>
      <c r="AH2" s="31" t="s">
        <v>126</v>
      </c>
      <c r="AI2" s="16" t="s">
        <v>127</v>
      </c>
      <c r="AJ2" s="31" t="s">
        <v>128</v>
      </c>
      <c r="AK2" s="13" t="s">
        <v>129</v>
      </c>
      <c r="AL2" s="11" t="s">
        <v>130</v>
      </c>
      <c r="AM2" s="30" t="s">
        <v>110</v>
      </c>
      <c r="AN2" s="30" t="s">
        <v>110</v>
      </c>
      <c r="AO2" s="11" t="s">
        <v>131</v>
      </c>
      <c r="AP2" s="11" t="s">
        <v>132</v>
      </c>
      <c r="AQ2" s="11" t="s">
        <v>130</v>
      </c>
      <c r="AR2" s="30" t="s">
        <v>110</v>
      </c>
      <c r="AS2" s="30" t="s">
        <v>110</v>
      </c>
      <c r="AT2" s="11" t="s">
        <v>131</v>
      </c>
      <c r="AU2" s="11" t="s">
        <v>132</v>
      </c>
      <c r="AV2" s="11" t="s">
        <v>130</v>
      </c>
      <c r="AW2" s="30" t="s">
        <v>110</v>
      </c>
      <c r="AX2" s="30" t="s">
        <v>110</v>
      </c>
      <c r="AY2" s="11" t="s">
        <v>131</v>
      </c>
      <c r="AZ2" s="11" t="s">
        <v>132</v>
      </c>
      <c r="BA2" s="31" t="s">
        <v>133</v>
      </c>
      <c r="BB2" s="31" t="s">
        <v>134</v>
      </c>
      <c r="BC2" s="31" t="s">
        <v>135</v>
      </c>
      <c r="BD2" s="31" t="s">
        <v>134</v>
      </c>
      <c r="BE2" s="33" t="s">
        <v>110</v>
      </c>
      <c r="BF2" s="37">
        <v>4.2361111111111099E-2</v>
      </c>
      <c r="BG2" s="31" t="s">
        <v>133</v>
      </c>
      <c r="BH2" s="31" t="s">
        <v>134</v>
      </c>
      <c r="BI2" s="31" t="s">
        <v>135</v>
      </c>
      <c r="BJ2" s="31" t="s">
        <v>134</v>
      </c>
      <c r="BK2" s="33" t="s">
        <v>110</v>
      </c>
      <c r="BL2" s="37">
        <v>4.2361111111111099E-2</v>
      </c>
      <c r="BM2" s="31" t="s">
        <v>133</v>
      </c>
      <c r="BN2" s="31" t="s">
        <v>134</v>
      </c>
      <c r="BO2" s="31" t="s">
        <v>135</v>
      </c>
      <c r="BP2" s="31" t="s">
        <v>134</v>
      </c>
      <c r="BQ2" s="33" t="s">
        <v>110</v>
      </c>
      <c r="BR2" s="37">
        <v>4.2361111111111099E-2</v>
      </c>
      <c r="BS2" s="31" t="s">
        <v>133</v>
      </c>
      <c r="BT2" s="31" t="s">
        <v>134</v>
      </c>
      <c r="BU2" s="31" t="s">
        <v>135</v>
      </c>
      <c r="BV2" s="31" t="s">
        <v>134</v>
      </c>
      <c r="BW2" s="33" t="s">
        <v>110</v>
      </c>
      <c r="BX2" s="37">
        <v>4.2361111111111099E-2</v>
      </c>
      <c r="BY2" s="11" t="s">
        <v>136</v>
      </c>
      <c r="BZ2" s="71" t="s">
        <v>137</v>
      </c>
      <c r="CA2" s="72" t="s">
        <v>110</v>
      </c>
      <c r="CB2" s="72" t="s">
        <v>110</v>
      </c>
      <c r="CC2" s="71" t="s">
        <v>138</v>
      </c>
      <c r="CD2" s="71" t="s">
        <v>137</v>
      </c>
      <c r="CE2" s="72" t="s">
        <v>110</v>
      </c>
      <c r="CF2" s="72" t="s">
        <v>110</v>
      </c>
      <c r="CG2" s="71" t="s">
        <v>138</v>
      </c>
      <c r="CH2" s="71" t="s">
        <v>137</v>
      </c>
      <c r="CI2" s="71" t="s">
        <v>110</v>
      </c>
      <c r="CJ2" s="71" t="s">
        <v>110</v>
      </c>
      <c r="CK2" s="71" t="s">
        <v>138</v>
      </c>
      <c r="CL2" s="34" t="s">
        <v>107</v>
      </c>
      <c r="CM2" s="34" t="s">
        <v>107</v>
      </c>
      <c r="CN2" s="35" t="s">
        <v>107</v>
      </c>
      <c r="CO2" s="36" t="s">
        <v>110</v>
      </c>
      <c r="CP2" s="35" t="s">
        <v>135</v>
      </c>
      <c r="CQ2" s="35" t="s">
        <v>139</v>
      </c>
    </row>
    <row r="3" spans="1:1024" s="85" customFormat="1" ht="11.25" customHeight="1" x14ac:dyDescent="0.3">
      <c r="A3" s="38" t="s">
        <v>140</v>
      </c>
      <c r="B3" s="38" t="s">
        <v>108</v>
      </c>
      <c r="C3" s="57" t="s">
        <v>154</v>
      </c>
      <c r="D3" s="46"/>
      <c r="E3" s="46">
        <v>45680</v>
      </c>
      <c r="F3" s="46">
        <v>45680</v>
      </c>
      <c r="G3" s="38" t="s">
        <v>376</v>
      </c>
      <c r="H3" s="39" t="s">
        <v>141</v>
      </c>
      <c r="I3" s="39" t="s">
        <v>113</v>
      </c>
      <c r="J3" s="39" t="s">
        <v>113</v>
      </c>
      <c r="K3" s="57" t="s">
        <v>380</v>
      </c>
      <c r="L3" s="57" t="s">
        <v>381</v>
      </c>
      <c r="M3" s="38" t="s">
        <v>368</v>
      </c>
      <c r="N3" s="57" t="s">
        <v>225</v>
      </c>
      <c r="O3" s="89" t="s">
        <v>153</v>
      </c>
      <c r="P3" s="57" t="s">
        <v>417</v>
      </c>
      <c r="Q3" s="46">
        <v>33045</v>
      </c>
      <c r="R3" s="47"/>
      <c r="S3" s="47"/>
      <c r="T3" s="47"/>
      <c r="U3" s="47"/>
      <c r="V3" s="47" t="s">
        <v>365</v>
      </c>
      <c r="W3" s="46">
        <v>45680</v>
      </c>
      <c r="X3" s="88">
        <v>0.71875</v>
      </c>
      <c r="Y3" s="57" t="s">
        <v>461</v>
      </c>
      <c r="Z3" s="46">
        <v>45681</v>
      </c>
      <c r="AA3" s="47" t="s">
        <v>462</v>
      </c>
      <c r="AB3" s="47" t="s">
        <v>451</v>
      </c>
      <c r="AC3" s="45">
        <v>45681</v>
      </c>
      <c r="AD3" s="87" t="s">
        <v>452</v>
      </c>
      <c r="AE3" s="40" t="s">
        <v>465</v>
      </c>
      <c r="AF3" s="40" t="s">
        <v>128</v>
      </c>
      <c r="AG3" s="47" t="s">
        <v>125</v>
      </c>
      <c r="AH3" s="47" t="s">
        <v>126</v>
      </c>
      <c r="AI3" s="84" t="s">
        <v>123</v>
      </c>
      <c r="AJ3" s="47" t="s">
        <v>124</v>
      </c>
      <c r="AK3" s="58">
        <v>3</v>
      </c>
      <c r="AL3" s="79" t="s">
        <v>369</v>
      </c>
      <c r="AM3" s="86">
        <v>45680</v>
      </c>
      <c r="AN3" s="86">
        <v>45681</v>
      </c>
      <c r="AO3" s="38" t="s">
        <v>367</v>
      </c>
      <c r="AP3" s="47" t="s">
        <v>471</v>
      </c>
      <c r="AQ3" s="79" t="s">
        <v>143</v>
      </c>
      <c r="AR3" s="86"/>
      <c r="AS3" s="86"/>
      <c r="AT3" s="47"/>
      <c r="AU3" s="57" t="s">
        <v>143</v>
      </c>
      <c r="AV3" s="79" t="s">
        <v>143</v>
      </c>
      <c r="AW3" s="86"/>
      <c r="AX3" s="86"/>
      <c r="AY3" s="47"/>
      <c r="AZ3" s="47" t="s">
        <v>143</v>
      </c>
      <c r="BA3" s="38" t="s">
        <v>374</v>
      </c>
      <c r="BB3" s="38" t="s">
        <v>373</v>
      </c>
      <c r="BC3" s="39" t="s">
        <v>374</v>
      </c>
      <c r="BD3" s="41" t="s">
        <v>375</v>
      </c>
      <c r="BE3" s="41">
        <f t="shared" ref="BE3:BE24" si="0">W3</f>
        <v>45680</v>
      </c>
      <c r="BF3" s="83">
        <v>0.875</v>
      </c>
      <c r="BG3" s="38" t="s">
        <v>374</v>
      </c>
      <c r="BH3" s="38" t="s">
        <v>372</v>
      </c>
      <c r="BI3" s="45" t="s">
        <v>374</v>
      </c>
      <c r="BJ3" s="45" t="s">
        <v>375</v>
      </c>
      <c r="BK3" s="45">
        <v>45679</v>
      </c>
      <c r="BL3" s="83">
        <v>0.375</v>
      </c>
      <c r="BM3" s="38" t="s">
        <v>466</v>
      </c>
      <c r="BN3" s="39" t="s">
        <v>371</v>
      </c>
      <c r="BO3" s="42" t="s">
        <v>135</v>
      </c>
      <c r="BP3" s="42" t="s">
        <v>372</v>
      </c>
      <c r="BQ3" s="42">
        <v>45679</v>
      </c>
      <c r="BR3" s="83">
        <v>0.45833333333333331</v>
      </c>
      <c r="BS3" s="39" t="s">
        <v>467</v>
      </c>
      <c r="BT3" s="41" t="s">
        <v>372</v>
      </c>
      <c r="BU3" s="39" t="s">
        <v>135</v>
      </c>
      <c r="BV3" s="38" t="s">
        <v>375</v>
      </c>
      <c r="BW3" s="41">
        <f t="shared" ref="BW3:BW5" si="1">AC3</f>
        <v>45681</v>
      </c>
      <c r="BX3" s="83">
        <v>0.64930555555555558</v>
      </c>
      <c r="BY3" s="38"/>
      <c r="BZ3" s="47"/>
      <c r="CA3" s="86"/>
      <c r="CB3" s="86"/>
      <c r="CC3" s="47"/>
      <c r="CD3" s="47"/>
      <c r="CE3" s="86"/>
      <c r="CF3" s="86"/>
      <c r="CG3" s="47"/>
      <c r="CH3" s="47"/>
      <c r="CI3" s="47"/>
      <c r="CJ3" s="47"/>
      <c r="CK3" s="47"/>
      <c r="CL3" s="38"/>
      <c r="CM3" s="38"/>
      <c r="CN3" s="38"/>
      <c r="CO3" s="59"/>
      <c r="CP3" s="38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/>
      <c r="GM3" s="47"/>
      <c r="GN3" s="47"/>
      <c r="GO3" s="47"/>
      <c r="GP3" s="47"/>
      <c r="GQ3" s="47"/>
      <c r="GR3" s="47"/>
      <c r="GS3" s="47"/>
      <c r="GT3" s="47"/>
      <c r="GU3" s="47"/>
      <c r="GV3" s="47"/>
      <c r="GW3" s="47"/>
      <c r="GX3" s="47"/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7"/>
      <c r="HN3" s="47"/>
      <c r="HO3" s="47"/>
      <c r="HP3" s="47"/>
      <c r="HQ3" s="47"/>
      <c r="HR3" s="47"/>
      <c r="HS3" s="47"/>
      <c r="HT3" s="47"/>
      <c r="HU3" s="47"/>
      <c r="HV3" s="47"/>
      <c r="HW3" s="47"/>
      <c r="HX3" s="47"/>
      <c r="HY3" s="47"/>
      <c r="HZ3" s="47"/>
      <c r="IA3" s="47"/>
      <c r="IB3" s="47"/>
      <c r="IC3" s="47"/>
      <c r="ID3" s="47"/>
      <c r="IE3" s="47"/>
      <c r="IF3" s="47"/>
      <c r="IG3" s="47"/>
      <c r="IH3" s="47"/>
      <c r="II3" s="47"/>
      <c r="IJ3" s="47"/>
      <c r="IK3" s="47"/>
      <c r="IL3" s="47"/>
      <c r="IM3" s="47"/>
      <c r="IN3" s="47"/>
      <c r="IO3" s="47"/>
      <c r="IP3" s="47"/>
      <c r="IQ3" s="47"/>
      <c r="IR3" s="47"/>
      <c r="IS3" s="47"/>
      <c r="IT3" s="47"/>
      <c r="IU3" s="47"/>
      <c r="IV3" s="47"/>
      <c r="IW3" s="47"/>
      <c r="IX3" s="47"/>
      <c r="IY3" s="47"/>
      <c r="IZ3" s="47"/>
      <c r="JA3" s="47"/>
      <c r="JB3" s="47"/>
      <c r="JC3" s="47"/>
      <c r="JD3" s="47"/>
      <c r="JE3" s="47"/>
      <c r="JF3" s="47"/>
      <c r="JG3" s="47"/>
      <c r="JH3" s="47"/>
      <c r="JI3" s="47"/>
      <c r="JJ3" s="47"/>
      <c r="JK3" s="47"/>
      <c r="JL3" s="47"/>
      <c r="JM3" s="47"/>
      <c r="JN3" s="47"/>
      <c r="JO3" s="47"/>
      <c r="JP3" s="47"/>
      <c r="JQ3" s="47"/>
      <c r="JR3" s="47"/>
      <c r="JS3" s="47"/>
      <c r="JT3" s="47"/>
      <c r="JU3" s="47"/>
      <c r="JV3" s="47"/>
      <c r="JW3" s="47"/>
      <c r="JX3" s="47"/>
      <c r="JY3" s="47"/>
      <c r="JZ3" s="47"/>
      <c r="KA3" s="47"/>
      <c r="KB3" s="47"/>
      <c r="KC3" s="47"/>
      <c r="KD3" s="47"/>
      <c r="KE3" s="47"/>
      <c r="KF3" s="47"/>
      <c r="KG3" s="47"/>
      <c r="KH3" s="47"/>
      <c r="KI3" s="47"/>
      <c r="KJ3" s="47"/>
      <c r="KK3" s="47"/>
      <c r="KL3" s="47"/>
      <c r="KM3" s="47"/>
      <c r="KN3" s="47"/>
      <c r="KO3" s="47"/>
      <c r="KP3" s="47"/>
      <c r="KQ3" s="47"/>
      <c r="KR3" s="47"/>
      <c r="KS3" s="47"/>
      <c r="KT3" s="47"/>
      <c r="KU3" s="47"/>
      <c r="KV3" s="47"/>
      <c r="KW3" s="47"/>
      <c r="KX3" s="47"/>
      <c r="KY3" s="47"/>
      <c r="KZ3" s="47"/>
      <c r="LA3" s="47"/>
      <c r="LB3" s="47"/>
      <c r="LC3" s="47"/>
      <c r="LD3" s="47"/>
      <c r="LE3" s="47"/>
      <c r="LF3" s="47"/>
      <c r="LG3" s="47"/>
      <c r="LH3" s="47"/>
      <c r="LI3" s="47"/>
      <c r="LJ3" s="47"/>
      <c r="LK3" s="47"/>
      <c r="LL3" s="47"/>
      <c r="LM3" s="47"/>
      <c r="LN3" s="47"/>
      <c r="LO3" s="47"/>
      <c r="LP3" s="47"/>
      <c r="LQ3" s="47"/>
      <c r="LR3" s="47"/>
      <c r="LS3" s="47"/>
      <c r="LT3" s="47"/>
      <c r="LU3" s="47"/>
      <c r="LV3" s="47"/>
      <c r="LW3" s="47"/>
      <c r="LX3" s="47"/>
      <c r="LY3" s="47"/>
      <c r="LZ3" s="47"/>
      <c r="MA3" s="47"/>
      <c r="MB3" s="47"/>
      <c r="MC3" s="47"/>
      <c r="MD3" s="47"/>
      <c r="ME3" s="47"/>
      <c r="MF3" s="47"/>
      <c r="MG3" s="47"/>
      <c r="MH3" s="47"/>
      <c r="MI3" s="47"/>
      <c r="MJ3" s="47"/>
      <c r="MK3" s="47"/>
      <c r="ML3" s="47"/>
      <c r="MM3" s="47"/>
      <c r="MN3" s="47"/>
      <c r="MO3" s="47"/>
      <c r="MP3" s="47"/>
      <c r="MQ3" s="47"/>
      <c r="MR3" s="47"/>
      <c r="MS3" s="47"/>
      <c r="MT3" s="47"/>
      <c r="MU3" s="47"/>
      <c r="MV3" s="47"/>
      <c r="MW3" s="47"/>
      <c r="MX3" s="47"/>
      <c r="MY3" s="47"/>
      <c r="MZ3" s="47"/>
      <c r="NA3" s="47"/>
      <c r="NB3" s="47"/>
      <c r="NC3" s="47"/>
      <c r="ND3" s="47"/>
      <c r="NE3" s="47"/>
      <c r="NF3" s="47"/>
      <c r="NG3" s="47"/>
      <c r="NH3" s="47"/>
      <c r="NI3" s="47"/>
      <c r="NJ3" s="47"/>
      <c r="NK3" s="47"/>
      <c r="NL3" s="47"/>
      <c r="NM3" s="47"/>
      <c r="NN3" s="47"/>
      <c r="NO3" s="47"/>
      <c r="NP3" s="47"/>
      <c r="NQ3" s="47"/>
      <c r="NR3" s="47"/>
      <c r="NS3" s="47"/>
      <c r="NT3" s="47"/>
      <c r="NU3" s="47"/>
      <c r="NV3" s="47"/>
      <c r="NW3" s="47"/>
      <c r="NX3" s="47"/>
      <c r="NY3" s="47"/>
      <c r="NZ3" s="47"/>
      <c r="OA3" s="47"/>
      <c r="OB3" s="47"/>
      <c r="OC3" s="47"/>
      <c r="OD3" s="47"/>
      <c r="OE3" s="47"/>
      <c r="OF3" s="47"/>
      <c r="OG3" s="47"/>
      <c r="OH3" s="47"/>
      <c r="OI3" s="47"/>
      <c r="OJ3" s="47"/>
      <c r="OK3" s="47"/>
      <c r="OL3" s="47"/>
      <c r="OM3" s="47"/>
      <c r="ON3" s="47"/>
      <c r="OO3" s="47"/>
      <c r="OP3" s="47"/>
      <c r="OQ3" s="47"/>
      <c r="OR3" s="47"/>
      <c r="OS3" s="47"/>
      <c r="OT3" s="47"/>
      <c r="OU3" s="47"/>
      <c r="OV3" s="47"/>
      <c r="OW3" s="47"/>
      <c r="OX3" s="47"/>
      <c r="OY3" s="47"/>
      <c r="OZ3" s="47"/>
      <c r="PA3" s="47"/>
      <c r="PB3" s="47"/>
      <c r="PC3" s="47"/>
      <c r="PD3" s="47"/>
      <c r="PE3" s="47"/>
      <c r="PF3" s="47"/>
      <c r="PG3" s="47"/>
      <c r="PH3" s="47"/>
      <c r="PI3" s="47"/>
      <c r="PJ3" s="47"/>
      <c r="PK3" s="47"/>
      <c r="PL3" s="47"/>
      <c r="PM3" s="47"/>
      <c r="PN3" s="47"/>
      <c r="PO3" s="47"/>
      <c r="PP3" s="47"/>
      <c r="PQ3" s="47"/>
      <c r="PR3" s="47"/>
      <c r="PS3" s="47"/>
      <c r="PT3" s="47"/>
      <c r="PU3" s="47"/>
      <c r="PV3" s="47"/>
      <c r="PW3" s="47"/>
      <c r="PX3" s="47"/>
      <c r="PY3" s="47"/>
      <c r="PZ3" s="47"/>
      <c r="QA3" s="47"/>
      <c r="QB3" s="47"/>
      <c r="QC3" s="47"/>
      <c r="QD3" s="47"/>
      <c r="QE3" s="47"/>
      <c r="QF3" s="47"/>
      <c r="QG3" s="47"/>
      <c r="QH3" s="47"/>
      <c r="QI3" s="47"/>
      <c r="QJ3" s="47"/>
      <c r="QK3" s="47"/>
      <c r="QL3" s="47"/>
      <c r="QM3" s="47"/>
      <c r="QN3" s="47"/>
      <c r="QO3" s="47"/>
      <c r="QP3" s="47"/>
      <c r="QQ3" s="47"/>
      <c r="QR3" s="47"/>
      <c r="QS3" s="47"/>
      <c r="QT3" s="47"/>
      <c r="QU3" s="47"/>
      <c r="QV3" s="47"/>
      <c r="QW3" s="47"/>
      <c r="QX3" s="47"/>
      <c r="QY3" s="47"/>
      <c r="QZ3" s="47"/>
      <c r="RA3" s="47"/>
      <c r="RB3" s="47"/>
      <c r="RC3" s="47"/>
      <c r="RD3" s="47"/>
      <c r="RE3" s="47"/>
      <c r="RF3" s="47"/>
      <c r="RG3" s="47"/>
      <c r="RH3" s="47"/>
      <c r="RI3" s="47"/>
      <c r="RJ3" s="47"/>
      <c r="RK3" s="47"/>
      <c r="RL3" s="47"/>
      <c r="RM3" s="47"/>
      <c r="RN3" s="47"/>
      <c r="RO3" s="47"/>
      <c r="RP3" s="47"/>
      <c r="RQ3" s="47"/>
      <c r="RR3" s="47"/>
      <c r="RS3" s="47"/>
      <c r="RT3" s="47"/>
      <c r="RU3" s="47"/>
      <c r="RV3" s="47"/>
      <c r="RW3" s="47"/>
      <c r="RX3" s="47"/>
      <c r="RY3" s="47"/>
      <c r="RZ3" s="47"/>
      <c r="SA3" s="47"/>
      <c r="SB3" s="47"/>
      <c r="SC3" s="47"/>
      <c r="SD3" s="47"/>
      <c r="SE3" s="47"/>
      <c r="SF3" s="47"/>
      <c r="SG3" s="47"/>
      <c r="SH3" s="47"/>
      <c r="SI3" s="47"/>
      <c r="SJ3" s="47"/>
      <c r="SK3" s="47"/>
      <c r="SL3" s="47"/>
      <c r="SM3" s="47"/>
      <c r="SN3" s="47"/>
      <c r="SO3" s="47"/>
      <c r="SP3" s="47"/>
      <c r="SQ3" s="47"/>
      <c r="SR3" s="47"/>
      <c r="SS3" s="47"/>
      <c r="ST3" s="47"/>
      <c r="SU3" s="47"/>
      <c r="SV3" s="47"/>
      <c r="SW3" s="47"/>
      <c r="SX3" s="47"/>
      <c r="SY3" s="47"/>
      <c r="SZ3" s="47"/>
      <c r="TA3" s="47"/>
      <c r="TB3" s="47"/>
      <c r="TC3" s="47"/>
      <c r="TD3" s="47"/>
      <c r="TE3" s="47"/>
      <c r="TF3" s="47"/>
      <c r="TG3" s="47"/>
      <c r="TH3" s="47"/>
      <c r="TI3" s="47"/>
      <c r="TJ3" s="47"/>
      <c r="TK3" s="47"/>
      <c r="TL3" s="47"/>
      <c r="TM3" s="47"/>
      <c r="TN3" s="47"/>
      <c r="TO3" s="47"/>
      <c r="TP3" s="47"/>
      <c r="TQ3" s="47"/>
      <c r="TR3" s="47"/>
      <c r="TS3" s="47"/>
      <c r="TT3" s="47"/>
      <c r="TU3" s="47"/>
      <c r="TV3" s="47"/>
      <c r="TW3" s="47"/>
      <c r="TX3" s="47"/>
      <c r="TY3" s="47"/>
      <c r="TZ3" s="47"/>
      <c r="UA3" s="47"/>
      <c r="UB3" s="47"/>
      <c r="UC3" s="47"/>
      <c r="UD3" s="47"/>
      <c r="UE3" s="47"/>
      <c r="UF3" s="47"/>
      <c r="UG3" s="47"/>
      <c r="UH3" s="47"/>
      <c r="UI3" s="47"/>
      <c r="UJ3" s="47"/>
      <c r="UK3" s="47"/>
      <c r="UL3" s="47"/>
      <c r="UM3" s="47"/>
      <c r="UN3" s="47"/>
      <c r="UO3" s="47"/>
      <c r="UP3" s="47"/>
      <c r="UQ3" s="47"/>
      <c r="UR3" s="47"/>
      <c r="US3" s="47"/>
      <c r="UT3" s="47"/>
      <c r="UU3" s="47"/>
      <c r="UV3" s="47"/>
      <c r="UW3" s="47"/>
      <c r="UX3" s="47"/>
      <c r="UY3" s="47"/>
      <c r="UZ3" s="47"/>
      <c r="VA3" s="47"/>
      <c r="VB3" s="47"/>
      <c r="VC3" s="47"/>
      <c r="VD3" s="47"/>
      <c r="VE3" s="47"/>
      <c r="VF3" s="47"/>
      <c r="VG3" s="47"/>
      <c r="VH3" s="47"/>
      <c r="VI3" s="47"/>
      <c r="VJ3" s="47"/>
      <c r="VK3" s="47"/>
      <c r="VL3" s="47"/>
      <c r="VM3" s="47"/>
      <c r="VN3" s="47"/>
      <c r="VO3" s="47"/>
      <c r="VP3" s="47"/>
      <c r="VQ3" s="47"/>
      <c r="VR3" s="47"/>
      <c r="VS3" s="47"/>
      <c r="VT3" s="47"/>
      <c r="VU3" s="47"/>
      <c r="VV3" s="47"/>
      <c r="VW3" s="47"/>
      <c r="VX3" s="47"/>
      <c r="VY3" s="47"/>
      <c r="VZ3" s="47"/>
      <c r="WA3" s="47"/>
      <c r="WB3" s="47"/>
      <c r="WC3" s="47"/>
      <c r="WD3" s="47"/>
      <c r="WE3" s="47"/>
      <c r="WF3" s="47"/>
      <c r="WG3" s="47"/>
      <c r="WH3" s="47"/>
      <c r="WI3" s="47"/>
      <c r="WJ3" s="47"/>
      <c r="WK3" s="47"/>
      <c r="WL3" s="47"/>
      <c r="WM3" s="47"/>
      <c r="WN3" s="47"/>
      <c r="WO3" s="47"/>
      <c r="WP3" s="47"/>
      <c r="WQ3" s="47"/>
      <c r="WR3" s="47"/>
      <c r="WS3" s="47"/>
      <c r="WT3" s="47"/>
      <c r="WU3" s="47"/>
      <c r="WV3" s="47"/>
      <c r="WW3" s="47"/>
      <c r="WX3" s="47"/>
      <c r="WY3" s="47"/>
      <c r="WZ3" s="47"/>
      <c r="XA3" s="47"/>
      <c r="XB3" s="47"/>
      <c r="XC3" s="47"/>
      <c r="XD3" s="47"/>
      <c r="XE3" s="47"/>
      <c r="XF3" s="47"/>
      <c r="XG3" s="47"/>
      <c r="XH3" s="47"/>
      <c r="XI3" s="47"/>
      <c r="XJ3" s="47"/>
      <c r="XK3" s="47"/>
      <c r="XL3" s="47"/>
      <c r="XM3" s="47"/>
      <c r="XN3" s="47"/>
      <c r="XO3" s="47"/>
      <c r="XP3" s="47"/>
      <c r="XQ3" s="47"/>
      <c r="XR3" s="47"/>
      <c r="XS3" s="47"/>
      <c r="XT3" s="47"/>
      <c r="XU3" s="47"/>
      <c r="XV3" s="47"/>
      <c r="XW3" s="47"/>
      <c r="XX3" s="47"/>
      <c r="XY3" s="47"/>
      <c r="XZ3" s="47"/>
      <c r="YA3" s="47"/>
      <c r="YB3" s="47"/>
      <c r="YC3" s="47"/>
      <c r="YD3" s="47"/>
      <c r="YE3" s="47"/>
      <c r="YF3" s="47"/>
      <c r="YG3" s="47"/>
      <c r="YH3" s="47"/>
      <c r="YI3" s="47"/>
      <c r="YJ3" s="47"/>
      <c r="YK3" s="47"/>
      <c r="YL3" s="47"/>
      <c r="YM3" s="47"/>
      <c r="YN3" s="47"/>
      <c r="YO3" s="47"/>
      <c r="YP3" s="47"/>
      <c r="YQ3" s="47"/>
      <c r="YR3" s="47"/>
      <c r="YS3" s="47"/>
      <c r="YT3" s="47"/>
      <c r="YU3" s="47"/>
      <c r="YV3" s="47"/>
      <c r="YW3" s="47"/>
      <c r="YX3" s="47"/>
      <c r="YY3" s="47"/>
      <c r="YZ3" s="47"/>
      <c r="ZA3" s="47"/>
      <c r="ZB3" s="47"/>
      <c r="ZC3" s="47"/>
      <c r="ZD3" s="47"/>
      <c r="ZE3" s="47"/>
      <c r="ZF3" s="47"/>
      <c r="ZG3" s="47"/>
      <c r="ZH3" s="47"/>
      <c r="ZI3" s="47"/>
      <c r="ZJ3" s="47"/>
      <c r="ZK3" s="47"/>
      <c r="ZL3" s="47"/>
      <c r="ZM3" s="47"/>
      <c r="ZN3" s="47"/>
      <c r="ZO3" s="47"/>
      <c r="ZP3" s="47"/>
      <c r="ZQ3" s="47"/>
      <c r="ZR3" s="47"/>
      <c r="ZS3" s="47"/>
      <c r="ZT3" s="47"/>
      <c r="ZU3" s="47"/>
      <c r="ZV3" s="47"/>
      <c r="ZW3" s="47"/>
      <c r="ZX3" s="47"/>
      <c r="ZY3" s="47"/>
      <c r="ZZ3" s="47"/>
      <c r="AAA3" s="47"/>
      <c r="AAB3" s="47"/>
      <c r="AAC3" s="47"/>
      <c r="AAD3" s="47"/>
      <c r="AAE3" s="47"/>
      <c r="AAF3" s="47"/>
      <c r="AAG3" s="47"/>
      <c r="AAH3" s="47"/>
      <c r="AAI3" s="47"/>
      <c r="AAJ3" s="47"/>
      <c r="AAK3" s="47"/>
      <c r="AAL3" s="47"/>
      <c r="AAM3" s="47"/>
      <c r="AAN3" s="47"/>
      <c r="AAO3" s="47"/>
      <c r="AAP3" s="47"/>
      <c r="AAQ3" s="47"/>
      <c r="AAR3" s="47"/>
      <c r="AAS3" s="47"/>
      <c r="AAT3" s="47"/>
      <c r="AAU3" s="47"/>
      <c r="AAV3" s="47"/>
      <c r="AAW3" s="47"/>
      <c r="AAX3" s="47"/>
      <c r="AAY3" s="47"/>
      <c r="AAZ3" s="47"/>
      <c r="ABA3" s="47"/>
      <c r="ABB3" s="47"/>
      <c r="ABC3" s="47"/>
      <c r="ABD3" s="47"/>
      <c r="ABE3" s="47"/>
      <c r="ABF3" s="47"/>
      <c r="ABG3" s="47"/>
      <c r="ABH3" s="47"/>
      <c r="ABI3" s="47"/>
      <c r="ABJ3" s="47"/>
      <c r="ABK3" s="47"/>
      <c r="ABL3" s="47"/>
      <c r="ABM3" s="47"/>
      <c r="ABN3" s="47"/>
      <c r="ABO3" s="47"/>
      <c r="ABP3" s="47"/>
      <c r="ABQ3" s="47"/>
      <c r="ABR3" s="47"/>
      <c r="ABS3" s="47"/>
      <c r="ABT3" s="47"/>
      <c r="ABU3" s="47"/>
      <c r="ABV3" s="47"/>
      <c r="ABW3" s="47"/>
      <c r="ABX3" s="47"/>
      <c r="ABY3" s="47"/>
      <c r="ABZ3" s="47"/>
      <c r="ACA3" s="47"/>
      <c r="ACB3" s="47"/>
      <c r="ACC3" s="47"/>
      <c r="ACD3" s="47"/>
      <c r="ACE3" s="47"/>
      <c r="ACF3" s="47"/>
      <c r="ACG3" s="47"/>
      <c r="ACH3" s="47"/>
      <c r="ACI3" s="47"/>
      <c r="ACJ3" s="47"/>
      <c r="ACK3" s="47"/>
      <c r="ACL3" s="47"/>
      <c r="ACM3" s="47"/>
      <c r="ACN3" s="47"/>
      <c r="ACO3" s="47"/>
      <c r="ACP3" s="47"/>
      <c r="ACQ3" s="47"/>
      <c r="ACR3" s="47"/>
      <c r="ACS3" s="47"/>
      <c r="ACT3" s="47"/>
      <c r="ACU3" s="47"/>
      <c r="ACV3" s="47"/>
      <c r="ACW3" s="47"/>
      <c r="ACX3" s="47"/>
      <c r="ACY3" s="47"/>
      <c r="ACZ3" s="47"/>
      <c r="ADA3" s="47"/>
      <c r="ADB3" s="47"/>
      <c r="ADC3" s="47"/>
      <c r="ADD3" s="47"/>
      <c r="ADE3" s="47"/>
      <c r="ADF3" s="47"/>
      <c r="ADG3" s="47"/>
      <c r="ADH3" s="47"/>
      <c r="ADI3" s="47"/>
      <c r="ADJ3" s="47"/>
      <c r="ADK3" s="47"/>
      <c r="ADL3" s="47"/>
      <c r="ADM3" s="47"/>
      <c r="ADN3" s="47"/>
      <c r="ADO3" s="47"/>
      <c r="ADP3" s="47"/>
      <c r="ADQ3" s="47"/>
      <c r="ADR3" s="47"/>
      <c r="ADS3" s="47"/>
      <c r="ADT3" s="47"/>
      <c r="ADU3" s="47"/>
      <c r="ADV3" s="47"/>
      <c r="ADW3" s="47"/>
      <c r="ADX3" s="47"/>
      <c r="ADY3" s="47"/>
      <c r="ADZ3" s="47"/>
      <c r="AEA3" s="47"/>
      <c r="AEB3" s="47"/>
      <c r="AEC3" s="47"/>
      <c r="AED3" s="47"/>
      <c r="AEE3" s="47"/>
      <c r="AEF3" s="47"/>
      <c r="AEG3" s="47"/>
      <c r="AEH3" s="47"/>
      <c r="AEI3" s="47"/>
      <c r="AEJ3" s="47"/>
      <c r="AEK3" s="47"/>
      <c r="AEL3" s="47"/>
      <c r="AEM3" s="47"/>
      <c r="AEN3" s="47"/>
      <c r="AEO3" s="47"/>
      <c r="AEP3" s="47"/>
      <c r="AEQ3" s="47"/>
      <c r="AER3" s="47"/>
      <c r="AES3" s="47"/>
      <c r="AET3" s="47"/>
      <c r="AEU3" s="47"/>
      <c r="AEV3" s="47"/>
      <c r="AEW3" s="47"/>
      <c r="AEX3" s="47"/>
      <c r="AEY3" s="47"/>
      <c r="AEZ3" s="47"/>
      <c r="AFA3" s="47"/>
      <c r="AFB3" s="47"/>
      <c r="AFC3" s="47"/>
      <c r="AFD3" s="47"/>
      <c r="AFE3" s="47"/>
      <c r="AFF3" s="47"/>
      <c r="AFG3" s="47"/>
      <c r="AFH3" s="47"/>
      <c r="AFI3" s="47"/>
      <c r="AFJ3" s="47"/>
      <c r="AFK3" s="47"/>
      <c r="AFL3" s="47"/>
      <c r="AFM3" s="47"/>
      <c r="AFN3" s="47"/>
      <c r="AFO3" s="47"/>
      <c r="AFP3" s="47"/>
      <c r="AFQ3" s="47"/>
      <c r="AFR3" s="47"/>
      <c r="AFS3" s="47"/>
      <c r="AFT3" s="47"/>
      <c r="AFU3" s="47"/>
      <c r="AFV3" s="47"/>
      <c r="AFW3" s="47"/>
      <c r="AFX3" s="47"/>
      <c r="AFY3" s="47"/>
      <c r="AFZ3" s="47"/>
      <c r="AGA3" s="47"/>
      <c r="AGB3" s="47"/>
      <c r="AGC3" s="47"/>
      <c r="AGD3" s="47"/>
      <c r="AGE3" s="47"/>
      <c r="AGF3" s="47"/>
      <c r="AGG3" s="47"/>
      <c r="AGH3" s="47"/>
      <c r="AGI3" s="47"/>
      <c r="AGJ3" s="47"/>
      <c r="AGK3" s="47"/>
      <c r="AGL3" s="47"/>
      <c r="AGM3" s="47"/>
      <c r="AGN3" s="47"/>
      <c r="AGO3" s="47"/>
      <c r="AGP3" s="47"/>
      <c r="AGQ3" s="47"/>
      <c r="AGR3" s="47"/>
      <c r="AGS3" s="47"/>
      <c r="AGT3" s="47"/>
      <c r="AGU3" s="47"/>
      <c r="AGV3" s="47"/>
      <c r="AGW3" s="47"/>
      <c r="AGX3" s="47"/>
      <c r="AGY3" s="47"/>
      <c r="AGZ3" s="47"/>
      <c r="AHA3" s="47"/>
      <c r="AHB3" s="47"/>
      <c r="AHC3" s="47"/>
      <c r="AHD3" s="47"/>
      <c r="AHE3" s="47"/>
      <c r="AHF3" s="47"/>
      <c r="AHG3" s="47"/>
      <c r="AHH3" s="47"/>
      <c r="AHI3" s="47"/>
      <c r="AHJ3" s="47"/>
      <c r="AHK3" s="47"/>
      <c r="AHL3" s="47"/>
      <c r="AHM3" s="47"/>
      <c r="AHN3" s="47"/>
      <c r="AHO3" s="47"/>
      <c r="AHP3" s="47"/>
      <c r="AHQ3" s="47"/>
      <c r="AHR3" s="47"/>
      <c r="AHS3" s="47"/>
      <c r="AHT3" s="47"/>
      <c r="AHU3" s="47"/>
      <c r="AHV3" s="47"/>
      <c r="AHW3" s="47"/>
      <c r="AHX3" s="47"/>
      <c r="AHY3" s="47"/>
      <c r="AHZ3" s="47"/>
      <c r="AIA3" s="47"/>
      <c r="AIB3" s="47"/>
      <c r="AIC3" s="47"/>
      <c r="AID3" s="47"/>
      <c r="AIE3" s="47"/>
      <c r="AIF3" s="47"/>
      <c r="AIG3" s="47"/>
      <c r="AIH3" s="47"/>
      <c r="AII3" s="47"/>
      <c r="AIJ3" s="47"/>
      <c r="AIK3" s="47"/>
      <c r="AIL3" s="47"/>
      <c r="AIM3" s="47"/>
      <c r="AIN3" s="47"/>
      <c r="AIO3" s="47"/>
      <c r="AIP3" s="47"/>
      <c r="AIQ3" s="47"/>
      <c r="AIR3" s="47"/>
      <c r="AIS3" s="47"/>
      <c r="AIT3" s="47"/>
      <c r="AIU3" s="47"/>
      <c r="AIV3" s="47"/>
      <c r="AIW3" s="47"/>
      <c r="AIX3" s="47"/>
      <c r="AIY3" s="47"/>
      <c r="AIZ3" s="47"/>
      <c r="AJA3" s="47"/>
      <c r="AJB3" s="47"/>
      <c r="AJC3" s="47"/>
      <c r="AJD3" s="47"/>
      <c r="AJE3" s="47"/>
      <c r="AJF3" s="47"/>
      <c r="AJG3" s="47"/>
      <c r="AJH3" s="47"/>
      <c r="AJI3" s="47"/>
      <c r="AJJ3" s="47"/>
      <c r="AJK3" s="47"/>
      <c r="AJL3" s="47"/>
      <c r="AJM3" s="47"/>
      <c r="AJN3" s="47"/>
      <c r="AJO3" s="47"/>
      <c r="AJP3" s="47"/>
      <c r="AJQ3" s="47"/>
      <c r="AJR3" s="47"/>
      <c r="AJS3" s="47"/>
      <c r="AJT3" s="47"/>
      <c r="AJU3" s="47"/>
      <c r="AJV3" s="47"/>
      <c r="AJW3" s="47"/>
      <c r="AJX3" s="47"/>
      <c r="AJY3" s="47"/>
      <c r="AJZ3" s="47"/>
      <c r="AKA3" s="47"/>
      <c r="AKB3" s="47"/>
      <c r="AKC3" s="47"/>
      <c r="AKD3" s="47"/>
      <c r="AKE3" s="47"/>
      <c r="AKF3" s="47"/>
      <c r="AKG3" s="47"/>
      <c r="AKH3" s="47"/>
      <c r="AKI3" s="47"/>
      <c r="AKJ3" s="47"/>
      <c r="AKK3" s="47"/>
      <c r="AKL3" s="47"/>
      <c r="AKM3" s="47"/>
      <c r="AKN3" s="47"/>
      <c r="AKO3" s="47"/>
      <c r="AKP3" s="47"/>
      <c r="AKQ3" s="47"/>
      <c r="AKR3" s="47"/>
      <c r="AKS3" s="47"/>
      <c r="AKT3" s="47"/>
      <c r="AKU3" s="47"/>
      <c r="AKV3" s="47"/>
      <c r="AKW3" s="47"/>
      <c r="AKX3" s="47"/>
      <c r="AKY3" s="47"/>
      <c r="AKZ3" s="47"/>
      <c r="ALA3" s="47"/>
      <c r="ALB3" s="47"/>
      <c r="ALC3" s="47"/>
      <c r="ALD3" s="47"/>
      <c r="ALE3" s="47"/>
      <c r="ALF3" s="47"/>
      <c r="ALG3" s="47"/>
      <c r="ALH3" s="47"/>
      <c r="ALI3" s="47"/>
      <c r="ALJ3" s="47"/>
      <c r="ALK3" s="47"/>
      <c r="ALL3" s="47"/>
      <c r="ALM3" s="47"/>
      <c r="ALN3" s="47"/>
      <c r="ALO3" s="47"/>
      <c r="ALP3" s="47"/>
      <c r="ALQ3" s="47"/>
      <c r="ALR3" s="47"/>
      <c r="ALS3" s="47"/>
      <c r="ALT3" s="47"/>
      <c r="ALU3" s="47"/>
      <c r="ALV3" s="47"/>
      <c r="ALW3" s="47"/>
      <c r="ALX3" s="47"/>
      <c r="ALY3" s="47"/>
      <c r="ALZ3" s="47"/>
      <c r="AMA3" s="47"/>
      <c r="AMB3" s="47"/>
      <c r="AMC3" s="47"/>
      <c r="AMD3" s="47"/>
      <c r="AME3" s="47"/>
      <c r="AMF3" s="47"/>
      <c r="AMG3" s="47"/>
      <c r="AMH3" s="47"/>
      <c r="AMI3" s="47"/>
      <c r="AMJ3" s="47"/>
    </row>
    <row r="4" spans="1:1024" s="85" customFormat="1" ht="11.25" customHeight="1" x14ac:dyDescent="0.3">
      <c r="A4" s="38" t="s">
        <v>140</v>
      </c>
      <c r="B4" s="38" t="s">
        <v>108</v>
      </c>
      <c r="C4" s="57" t="s">
        <v>154</v>
      </c>
      <c r="D4" s="46"/>
      <c r="E4" s="46">
        <v>45680</v>
      </c>
      <c r="F4" s="46">
        <v>45680</v>
      </c>
      <c r="G4" s="38" t="s">
        <v>376</v>
      </c>
      <c r="H4" s="39" t="s">
        <v>141</v>
      </c>
      <c r="I4" s="39" t="s">
        <v>113</v>
      </c>
      <c r="J4" s="39" t="s">
        <v>113</v>
      </c>
      <c r="K4" s="57" t="s">
        <v>378</v>
      </c>
      <c r="L4" s="57" t="s">
        <v>382</v>
      </c>
      <c r="M4" s="38" t="s">
        <v>176</v>
      </c>
      <c r="N4" s="57" t="s">
        <v>142</v>
      </c>
      <c r="O4" s="89" t="s">
        <v>264</v>
      </c>
      <c r="P4" s="57" t="s">
        <v>418</v>
      </c>
      <c r="Q4" s="46">
        <v>31367</v>
      </c>
      <c r="R4" s="47"/>
      <c r="S4" s="47"/>
      <c r="T4" s="47"/>
      <c r="U4" s="47"/>
      <c r="V4" s="47" t="s">
        <v>365</v>
      </c>
      <c r="W4" s="46">
        <v>45680</v>
      </c>
      <c r="X4" s="88">
        <v>0.71875</v>
      </c>
      <c r="Y4" s="57" t="s">
        <v>461</v>
      </c>
      <c r="Z4" s="46">
        <v>45681</v>
      </c>
      <c r="AA4" s="47" t="s">
        <v>462</v>
      </c>
      <c r="AB4" s="47" t="s">
        <v>442</v>
      </c>
      <c r="AC4" s="45">
        <v>45681</v>
      </c>
      <c r="AD4" s="87" t="s">
        <v>453</v>
      </c>
      <c r="AE4" s="40" t="s">
        <v>465</v>
      </c>
      <c r="AF4" s="40" t="s">
        <v>128</v>
      </c>
      <c r="AG4" s="47" t="s">
        <v>125</v>
      </c>
      <c r="AH4" s="47" t="s">
        <v>126</v>
      </c>
      <c r="AI4" s="84" t="s">
        <v>123</v>
      </c>
      <c r="AJ4" s="47" t="s">
        <v>124</v>
      </c>
      <c r="AK4" s="58">
        <v>3</v>
      </c>
      <c r="AL4" s="79" t="s">
        <v>369</v>
      </c>
      <c r="AM4" s="86">
        <v>45680</v>
      </c>
      <c r="AN4" s="86">
        <v>45681</v>
      </c>
      <c r="AO4" s="38" t="s">
        <v>366</v>
      </c>
      <c r="AP4" s="47" t="s">
        <v>471</v>
      </c>
      <c r="AQ4" s="79" t="s">
        <v>143</v>
      </c>
      <c r="AR4" s="86"/>
      <c r="AS4" s="86"/>
      <c r="AT4" s="47"/>
      <c r="AU4" s="57" t="s">
        <v>143</v>
      </c>
      <c r="AV4" s="79" t="s">
        <v>143</v>
      </c>
      <c r="AW4" s="86"/>
      <c r="AX4" s="86"/>
      <c r="AY4" s="47"/>
      <c r="AZ4" s="47" t="s">
        <v>143</v>
      </c>
      <c r="BA4" s="38" t="s">
        <v>374</v>
      </c>
      <c r="BB4" s="38" t="s">
        <v>373</v>
      </c>
      <c r="BC4" s="39" t="s">
        <v>374</v>
      </c>
      <c r="BD4" s="41" t="s">
        <v>375</v>
      </c>
      <c r="BE4" s="41">
        <f t="shared" si="0"/>
        <v>45680</v>
      </c>
      <c r="BF4" s="83">
        <v>0.91666666666666663</v>
      </c>
      <c r="BG4" s="38" t="s">
        <v>374</v>
      </c>
      <c r="BH4" s="38" t="s">
        <v>372</v>
      </c>
      <c r="BI4" s="45" t="s">
        <v>374</v>
      </c>
      <c r="BJ4" s="45" t="s">
        <v>375</v>
      </c>
      <c r="BK4" s="45">
        <v>45679</v>
      </c>
      <c r="BL4" s="83">
        <v>0.41666666666666802</v>
      </c>
      <c r="BM4" s="38" t="s">
        <v>466</v>
      </c>
      <c r="BN4" s="39" t="s">
        <v>371</v>
      </c>
      <c r="BO4" s="42" t="s">
        <v>135</v>
      </c>
      <c r="BP4" s="42" t="s">
        <v>372</v>
      </c>
      <c r="BQ4" s="42">
        <v>45679</v>
      </c>
      <c r="BR4" s="83">
        <v>0.45833333333333331</v>
      </c>
      <c r="BS4" s="39" t="s">
        <v>467</v>
      </c>
      <c r="BT4" s="41" t="s">
        <v>372</v>
      </c>
      <c r="BU4" s="39" t="s">
        <v>135</v>
      </c>
      <c r="BV4" s="38" t="s">
        <v>375</v>
      </c>
      <c r="BW4" s="41">
        <f t="shared" si="1"/>
        <v>45681</v>
      </c>
      <c r="BX4" s="83">
        <v>0.81944444444444442</v>
      </c>
      <c r="BY4" s="38"/>
      <c r="BZ4" s="47"/>
      <c r="CA4" s="86"/>
      <c r="CB4" s="86"/>
      <c r="CC4" s="47"/>
      <c r="CD4" s="47"/>
      <c r="CE4" s="86"/>
      <c r="CF4" s="86"/>
      <c r="CG4" s="47"/>
      <c r="CH4" s="47"/>
      <c r="CI4" s="47"/>
      <c r="CJ4" s="47"/>
      <c r="CK4" s="47"/>
      <c r="CL4" s="38"/>
      <c r="CM4" s="38"/>
      <c r="CN4" s="38"/>
      <c r="CO4" s="59"/>
      <c r="CP4" s="38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7"/>
      <c r="LZ4" s="47"/>
      <c r="MA4" s="47"/>
      <c r="MB4" s="47"/>
      <c r="MC4" s="47"/>
      <c r="MD4" s="47"/>
      <c r="ME4" s="47"/>
      <c r="MF4" s="47"/>
      <c r="MG4" s="47"/>
      <c r="MH4" s="47"/>
      <c r="MI4" s="47"/>
      <c r="MJ4" s="47"/>
      <c r="MK4" s="47"/>
      <c r="ML4" s="47"/>
      <c r="MM4" s="47"/>
      <c r="MN4" s="47"/>
      <c r="MO4" s="47"/>
      <c r="MP4" s="47"/>
      <c r="MQ4" s="47"/>
      <c r="MR4" s="47"/>
      <c r="MS4" s="47"/>
      <c r="MT4" s="47"/>
      <c r="MU4" s="47"/>
      <c r="MV4" s="47"/>
      <c r="MW4" s="47"/>
      <c r="MX4" s="47"/>
      <c r="MY4" s="47"/>
      <c r="MZ4" s="47"/>
      <c r="NA4" s="47"/>
      <c r="NB4" s="47"/>
      <c r="NC4" s="47"/>
      <c r="ND4" s="47"/>
      <c r="NE4" s="47"/>
      <c r="NF4" s="47"/>
      <c r="NG4" s="47"/>
      <c r="NH4" s="47"/>
      <c r="NI4" s="47"/>
      <c r="NJ4" s="47"/>
      <c r="NK4" s="47"/>
      <c r="NL4" s="47"/>
      <c r="NM4" s="47"/>
      <c r="NN4" s="47"/>
      <c r="NO4" s="47"/>
      <c r="NP4" s="47"/>
      <c r="NQ4" s="47"/>
      <c r="NR4" s="47"/>
      <c r="NS4" s="47"/>
      <c r="NT4" s="47"/>
      <c r="NU4" s="47"/>
      <c r="NV4" s="47"/>
      <c r="NW4" s="47"/>
      <c r="NX4" s="47"/>
      <c r="NY4" s="47"/>
      <c r="NZ4" s="47"/>
      <c r="OA4" s="47"/>
      <c r="OB4" s="47"/>
      <c r="OC4" s="47"/>
      <c r="OD4" s="47"/>
      <c r="OE4" s="47"/>
      <c r="OF4" s="47"/>
      <c r="OG4" s="47"/>
      <c r="OH4" s="47"/>
      <c r="OI4" s="47"/>
      <c r="OJ4" s="47"/>
      <c r="OK4" s="47"/>
      <c r="OL4" s="47"/>
      <c r="OM4" s="47"/>
      <c r="ON4" s="47"/>
      <c r="OO4" s="47"/>
      <c r="OP4" s="47"/>
      <c r="OQ4" s="47"/>
      <c r="OR4" s="47"/>
      <c r="OS4" s="47"/>
      <c r="OT4" s="47"/>
      <c r="OU4" s="47"/>
      <c r="OV4" s="47"/>
      <c r="OW4" s="47"/>
      <c r="OX4" s="47"/>
      <c r="OY4" s="47"/>
      <c r="OZ4" s="47"/>
      <c r="PA4" s="47"/>
      <c r="PB4" s="47"/>
      <c r="PC4" s="47"/>
      <c r="PD4" s="47"/>
      <c r="PE4" s="47"/>
      <c r="PF4" s="47"/>
      <c r="PG4" s="47"/>
      <c r="PH4" s="47"/>
      <c r="PI4" s="47"/>
      <c r="PJ4" s="47"/>
      <c r="PK4" s="47"/>
      <c r="PL4" s="47"/>
      <c r="PM4" s="47"/>
      <c r="PN4" s="47"/>
      <c r="PO4" s="47"/>
      <c r="PP4" s="47"/>
      <c r="PQ4" s="47"/>
      <c r="PR4" s="47"/>
      <c r="PS4" s="47"/>
      <c r="PT4" s="47"/>
      <c r="PU4" s="47"/>
      <c r="PV4" s="47"/>
      <c r="PW4" s="47"/>
      <c r="PX4" s="47"/>
      <c r="PY4" s="47"/>
      <c r="PZ4" s="47"/>
      <c r="QA4" s="47"/>
      <c r="QB4" s="47"/>
      <c r="QC4" s="47"/>
      <c r="QD4" s="47"/>
      <c r="QE4" s="47"/>
      <c r="QF4" s="47"/>
      <c r="QG4" s="47"/>
      <c r="QH4" s="47"/>
      <c r="QI4" s="47"/>
      <c r="QJ4" s="47"/>
      <c r="QK4" s="47"/>
      <c r="QL4" s="47"/>
      <c r="QM4" s="47"/>
      <c r="QN4" s="47"/>
      <c r="QO4" s="47"/>
      <c r="QP4" s="47"/>
      <c r="QQ4" s="47"/>
      <c r="QR4" s="47"/>
      <c r="QS4" s="47"/>
      <c r="QT4" s="47"/>
      <c r="QU4" s="47"/>
      <c r="QV4" s="47"/>
      <c r="QW4" s="47"/>
      <c r="QX4" s="47"/>
      <c r="QY4" s="47"/>
      <c r="QZ4" s="47"/>
      <c r="RA4" s="47"/>
      <c r="RB4" s="47"/>
      <c r="RC4" s="47"/>
      <c r="RD4" s="47"/>
      <c r="RE4" s="47"/>
      <c r="RF4" s="47"/>
      <c r="RG4" s="47"/>
      <c r="RH4" s="47"/>
      <c r="RI4" s="47"/>
      <c r="RJ4" s="47"/>
      <c r="RK4" s="47"/>
      <c r="RL4" s="47"/>
      <c r="RM4" s="47"/>
      <c r="RN4" s="47"/>
      <c r="RO4" s="47"/>
      <c r="RP4" s="47"/>
      <c r="RQ4" s="47"/>
      <c r="RR4" s="47"/>
      <c r="RS4" s="47"/>
      <c r="RT4" s="47"/>
      <c r="RU4" s="47"/>
      <c r="RV4" s="47"/>
      <c r="RW4" s="47"/>
      <c r="RX4" s="47"/>
      <c r="RY4" s="47"/>
      <c r="RZ4" s="47"/>
      <c r="SA4" s="47"/>
      <c r="SB4" s="47"/>
      <c r="SC4" s="47"/>
      <c r="SD4" s="47"/>
      <c r="SE4" s="47"/>
      <c r="SF4" s="47"/>
      <c r="SG4" s="47"/>
      <c r="SH4" s="47"/>
      <c r="SI4" s="47"/>
      <c r="SJ4" s="47"/>
      <c r="SK4" s="47"/>
      <c r="SL4" s="47"/>
      <c r="SM4" s="47"/>
      <c r="SN4" s="47"/>
      <c r="SO4" s="47"/>
      <c r="SP4" s="47"/>
      <c r="SQ4" s="47"/>
      <c r="SR4" s="47"/>
      <c r="SS4" s="47"/>
      <c r="ST4" s="47"/>
      <c r="SU4" s="47"/>
      <c r="SV4" s="47"/>
      <c r="SW4" s="47"/>
      <c r="SX4" s="47"/>
      <c r="SY4" s="47"/>
      <c r="SZ4" s="47"/>
      <c r="TA4" s="47"/>
      <c r="TB4" s="47"/>
      <c r="TC4" s="47"/>
      <c r="TD4" s="47"/>
      <c r="TE4" s="47"/>
      <c r="TF4" s="47"/>
      <c r="TG4" s="47"/>
      <c r="TH4" s="47"/>
      <c r="TI4" s="47"/>
      <c r="TJ4" s="47"/>
      <c r="TK4" s="47"/>
      <c r="TL4" s="47"/>
      <c r="TM4" s="47"/>
      <c r="TN4" s="47"/>
      <c r="TO4" s="47"/>
      <c r="TP4" s="47"/>
      <c r="TQ4" s="47"/>
      <c r="TR4" s="47"/>
      <c r="TS4" s="47"/>
      <c r="TT4" s="47"/>
      <c r="TU4" s="47"/>
      <c r="TV4" s="47"/>
      <c r="TW4" s="47"/>
      <c r="TX4" s="47"/>
      <c r="TY4" s="47"/>
      <c r="TZ4" s="47"/>
      <c r="UA4" s="47"/>
      <c r="UB4" s="47"/>
      <c r="UC4" s="47"/>
      <c r="UD4" s="47"/>
      <c r="UE4" s="47"/>
      <c r="UF4" s="47"/>
      <c r="UG4" s="47"/>
      <c r="UH4" s="47"/>
      <c r="UI4" s="47"/>
      <c r="UJ4" s="47"/>
      <c r="UK4" s="47"/>
      <c r="UL4" s="47"/>
      <c r="UM4" s="47"/>
      <c r="UN4" s="47"/>
      <c r="UO4" s="47"/>
      <c r="UP4" s="47"/>
      <c r="UQ4" s="47"/>
      <c r="UR4" s="47"/>
      <c r="US4" s="47"/>
      <c r="UT4" s="47"/>
      <c r="UU4" s="47"/>
      <c r="UV4" s="47"/>
      <c r="UW4" s="47"/>
      <c r="UX4" s="47"/>
      <c r="UY4" s="47"/>
      <c r="UZ4" s="47"/>
      <c r="VA4" s="47"/>
      <c r="VB4" s="47"/>
      <c r="VC4" s="47"/>
      <c r="VD4" s="47"/>
      <c r="VE4" s="47"/>
      <c r="VF4" s="47"/>
      <c r="VG4" s="47"/>
      <c r="VH4" s="47"/>
      <c r="VI4" s="47"/>
      <c r="VJ4" s="47"/>
      <c r="VK4" s="47"/>
      <c r="VL4" s="47"/>
      <c r="VM4" s="47"/>
      <c r="VN4" s="47"/>
      <c r="VO4" s="47"/>
      <c r="VP4" s="47"/>
      <c r="VQ4" s="47"/>
      <c r="VR4" s="47"/>
      <c r="VS4" s="47"/>
      <c r="VT4" s="47"/>
      <c r="VU4" s="47"/>
      <c r="VV4" s="47"/>
      <c r="VW4" s="47"/>
      <c r="VX4" s="47"/>
      <c r="VY4" s="47"/>
      <c r="VZ4" s="47"/>
      <c r="WA4" s="47"/>
      <c r="WB4" s="47"/>
      <c r="WC4" s="47"/>
      <c r="WD4" s="47"/>
      <c r="WE4" s="47"/>
      <c r="WF4" s="47"/>
      <c r="WG4" s="47"/>
      <c r="WH4" s="47"/>
      <c r="WI4" s="47"/>
      <c r="WJ4" s="47"/>
      <c r="WK4" s="47"/>
      <c r="WL4" s="47"/>
      <c r="WM4" s="47"/>
      <c r="WN4" s="47"/>
      <c r="WO4" s="47"/>
      <c r="WP4" s="47"/>
      <c r="WQ4" s="47"/>
      <c r="WR4" s="47"/>
      <c r="WS4" s="47"/>
      <c r="WT4" s="47"/>
      <c r="WU4" s="47"/>
      <c r="WV4" s="47"/>
      <c r="WW4" s="47"/>
      <c r="WX4" s="47"/>
      <c r="WY4" s="47"/>
      <c r="WZ4" s="47"/>
      <c r="XA4" s="47"/>
      <c r="XB4" s="47"/>
      <c r="XC4" s="47"/>
      <c r="XD4" s="47"/>
      <c r="XE4" s="47"/>
      <c r="XF4" s="47"/>
      <c r="XG4" s="47"/>
      <c r="XH4" s="47"/>
      <c r="XI4" s="47"/>
      <c r="XJ4" s="47"/>
      <c r="XK4" s="47"/>
      <c r="XL4" s="47"/>
      <c r="XM4" s="47"/>
      <c r="XN4" s="47"/>
      <c r="XO4" s="47"/>
      <c r="XP4" s="47"/>
      <c r="XQ4" s="47"/>
      <c r="XR4" s="47"/>
      <c r="XS4" s="47"/>
      <c r="XT4" s="47"/>
      <c r="XU4" s="47"/>
      <c r="XV4" s="47"/>
      <c r="XW4" s="47"/>
      <c r="XX4" s="47"/>
      <c r="XY4" s="47"/>
      <c r="XZ4" s="47"/>
      <c r="YA4" s="47"/>
      <c r="YB4" s="47"/>
      <c r="YC4" s="47"/>
      <c r="YD4" s="47"/>
      <c r="YE4" s="47"/>
      <c r="YF4" s="47"/>
      <c r="YG4" s="47"/>
      <c r="YH4" s="47"/>
      <c r="YI4" s="47"/>
      <c r="YJ4" s="47"/>
      <c r="YK4" s="47"/>
      <c r="YL4" s="47"/>
      <c r="YM4" s="47"/>
      <c r="YN4" s="47"/>
      <c r="YO4" s="47"/>
      <c r="YP4" s="47"/>
      <c r="YQ4" s="47"/>
      <c r="YR4" s="47"/>
      <c r="YS4" s="47"/>
      <c r="YT4" s="47"/>
      <c r="YU4" s="47"/>
      <c r="YV4" s="47"/>
      <c r="YW4" s="47"/>
      <c r="YX4" s="47"/>
      <c r="YY4" s="47"/>
      <c r="YZ4" s="47"/>
      <c r="ZA4" s="47"/>
      <c r="ZB4" s="47"/>
      <c r="ZC4" s="47"/>
      <c r="ZD4" s="47"/>
      <c r="ZE4" s="47"/>
      <c r="ZF4" s="47"/>
      <c r="ZG4" s="47"/>
      <c r="ZH4" s="47"/>
      <c r="ZI4" s="47"/>
      <c r="ZJ4" s="47"/>
      <c r="ZK4" s="47"/>
      <c r="ZL4" s="47"/>
      <c r="ZM4" s="47"/>
      <c r="ZN4" s="47"/>
      <c r="ZO4" s="47"/>
      <c r="ZP4" s="47"/>
      <c r="ZQ4" s="47"/>
      <c r="ZR4" s="47"/>
      <c r="ZS4" s="47"/>
      <c r="ZT4" s="47"/>
      <c r="ZU4" s="47"/>
      <c r="ZV4" s="47"/>
      <c r="ZW4" s="47"/>
      <c r="ZX4" s="47"/>
      <c r="ZY4" s="47"/>
      <c r="ZZ4" s="47"/>
      <c r="AAA4" s="47"/>
      <c r="AAB4" s="47"/>
      <c r="AAC4" s="47"/>
      <c r="AAD4" s="47"/>
      <c r="AAE4" s="47"/>
      <c r="AAF4" s="47"/>
      <c r="AAG4" s="47"/>
      <c r="AAH4" s="47"/>
      <c r="AAI4" s="47"/>
      <c r="AAJ4" s="47"/>
      <c r="AAK4" s="47"/>
      <c r="AAL4" s="47"/>
      <c r="AAM4" s="47"/>
      <c r="AAN4" s="47"/>
      <c r="AAO4" s="47"/>
      <c r="AAP4" s="47"/>
      <c r="AAQ4" s="47"/>
      <c r="AAR4" s="47"/>
      <c r="AAS4" s="47"/>
      <c r="AAT4" s="47"/>
      <c r="AAU4" s="47"/>
      <c r="AAV4" s="47"/>
      <c r="AAW4" s="47"/>
      <c r="AAX4" s="47"/>
      <c r="AAY4" s="47"/>
      <c r="AAZ4" s="47"/>
      <c r="ABA4" s="47"/>
      <c r="ABB4" s="47"/>
      <c r="ABC4" s="47"/>
      <c r="ABD4" s="47"/>
      <c r="ABE4" s="47"/>
      <c r="ABF4" s="47"/>
      <c r="ABG4" s="47"/>
      <c r="ABH4" s="47"/>
      <c r="ABI4" s="47"/>
      <c r="ABJ4" s="47"/>
      <c r="ABK4" s="47"/>
      <c r="ABL4" s="47"/>
      <c r="ABM4" s="47"/>
      <c r="ABN4" s="47"/>
      <c r="ABO4" s="47"/>
      <c r="ABP4" s="47"/>
      <c r="ABQ4" s="47"/>
      <c r="ABR4" s="47"/>
      <c r="ABS4" s="47"/>
      <c r="ABT4" s="47"/>
      <c r="ABU4" s="47"/>
      <c r="ABV4" s="47"/>
      <c r="ABW4" s="47"/>
      <c r="ABX4" s="47"/>
      <c r="ABY4" s="47"/>
      <c r="ABZ4" s="47"/>
      <c r="ACA4" s="47"/>
      <c r="ACB4" s="47"/>
      <c r="ACC4" s="47"/>
      <c r="ACD4" s="47"/>
      <c r="ACE4" s="47"/>
      <c r="ACF4" s="47"/>
      <c r="ACG4" s="47"/>
      <c r="ACH4" s="47"/>
      <c r="ACI4" s="47"/>
      <c r="ACJ4" s="47"/>
      <c r="ACK4" s="47"/>
      <c r="ACL4" s="47"/>
      <c r="ACM4" s="47"/>
      <c r="ACN4" s="47"/>
      <c r="ACO4" s="47"/>
      <c r="ACP4" s="47"/>
      <c r="ACQ4" s="47"/>
      <c r="ACR4" s="47"/>
      <c r="ACS4" s="47"/>
      <c r="ACT4" s="47"/>
      <c r="ACU4" s="47"/>
      <c r="ACV4" s="47"/>
      <c r="ACW4" s="47"/>
      <c r="ACX4" s="47"/>
      <c r="ACY4" s="47"/>
      <c r="ACZ4" s="47"/>
      <c r="ADA4" s="47"/>
      <c r="ADB4" s="47"/>
      <c r="ADC4" s="47"/>
      <c r="ADD4" s="47"/>
      <c r="ADE4" s="47"/>
      <c r="ADF4" s="47"/>
      <c r="ADG4" s="47"/>
      <c r="ADH4" s="47"/>
      <c r="ADI4" s="47"/>
      <c r="ADJ4" s="47"/>
      <c r="ADK4" s="47"/>
      <c r="ADL4" s="47"/>
      <c r="ADM4" s="47"/>
      <c r="ADN4" s="47"/>
      <c r="ADO4" s="47"/>
      <c r="ADP4" s="47"/>
      <c r="ADQ4" s="47"/>
      <c r="ADR4" s="47"/>
      <c r="ADS4" s="47"/>
      <c r="ADT4" s="47"/>
      <c r="ADU4" s="47"/>
      <c r="ADV4" s="47"/>
      <c r="ADW4" s="47"/>
      <c r="ADX4" s="47"/>
      <c r="ADY4" s="47"/>
      <c r="ADZ4" s="47"/>
      <c r="AEA4" s="47"/>
      <c r="AEB4" s="47"/>
      <c r="AEC4" s="47"/>
      <c r="AED4" s="47"/>
      <c r="AEE4" s="47"/>
      <c r="AEF4" s="47"/>
      <c r="AEG4" s="47"/>
      <c r="AEH4" s="47"/>
      <c r="AEI4" s="47"/>
      <c r="AEJ4" s="47"/>
      <c r="AEK4" s="47"/>
      <c r="AEL4" s="47"/>
      <c r="AEM4" s="47"/>
      <c r="AEN4" s="47"/>
      <c r="AEO4" s="47"/>
      <c r="AEP4" s="47"/>
      <c r="AEQ4" s="47"/>
      <c r="AER4" s="47"/>
      <c r="AES4" s="47"/>
      <c r="AET4" s="47"/>
      <c r="AEU4" s="47"/>
      <c r="AEV4" s="47"/>
      <c r="AEW4" s="47"/>
      <c r="AEX4" s="47"/>
      <c r="AEY4" s="47"/>
      <c r="AEZ4" s="47"/>
      <c r="AFA4" s="47"/>
      <c r="AFB4" s="47"/>
      <c r="AFC4" s="47"/>
      <c r="AFD4" s="47"/>
      <c r="AFE4" s="47"/>
      <c r="AFF4" s="47"/>
      <c r="AFG4" s="47"/>
      <c r="AFH4" s="47"/>
      <c r="AFI4" s="47"/>
      <c r="AFJ4" s="47"/>
      <c r="AFK4" s="47"/>
      <c r="AFL4" s="47"/>
      <c r="AFM4" s="47"/>
      <c r="AFN4" s="47"/>
      <c r="AFO4" s="47"/>
      <c r="AFP4" s="47"/>
      <c r="AFQ4" s="47"/>
      <c r="AFR4" s="47"/>
      <c r="AFS4" s="47"/>
      <c r="AFT4" s="47"/>
      <c r="AFU4" s="47"/>
      <c r="AFV4" s="47"/>
      <c r="AFW4" s="47"/>
      <c r="AFX4" s="47"/>
      <c r="AFY4" s="47"/>
      <c r="AFZ4" s="47"/>
      <c r="AGA4" s="47"/>
      <c r="AGB4" s="47"/>
      <c r="AGC4" s="47"/>
      <c r="AGD4" s="47"/>
      <c r="AGE4" s="47"/>
      <c r="AGF4" s="47"/>
      <c r="AGG4" s="47"/>
      <c r="AGH4" s="47"/>
      <c r="AGI4" s="47"/>
      <c r="AGJ4" s="47"/>
      <c r="AGK4" s="47"/>
      <c r="AGL4" s="47"/>
      <c r="AGM4" s="47"/>
      <c r="AGN4" s="47"/>
      <c r="AGO4" s="47"/>
      <c r="AGP4" s="47"/>
      <c r="AGQ4" s="47"/>
      <c r="AGR4" s="47"/>
      <c r="AGS4" s="47"/>
      <c r="AGT4" s="47"/>
      <c r="AGU4" s="47"/>
      <c r="AGV4" s="47"/>
      <c r="AGW4" s="47"/>
      <c r="AGX4" s="47"/>
      <c r="AGY4" s="47"/>
      <c r="AGZ4" s="47"/>
      <c r="AHA4" s="47"/>
      <c r="AHB4" s="47"/>
      <c r="AHC4" s="47"/>
      <c r="AHD4" s="47"/>
      <c r="AHE4" s="47"/>
      <c r="AHF4" s="47"/>
      <c r="AHG4" s="47"/>
      <c r="AHH4" s="47"/>
      <c r="AHI4" s="47"/>
      <c r="AHJ4" s="47"/>
      <c r="AHK4" s="47"/>
      <c r="AHL4" s="47"/>
      <c r="AHM4" s="47"/>
      <c r="AHN4" s="47"/>
      <c r="AHO4" s="47"/>
      <c r="AHP4" s="47"/>
      <c r="AHQ4" s="47"/>
      <c r="AHR4" s="47"/>
      <c r="AHS4" s="47"/>
      <c r="AHT4" s="47"/>
      <c r="AHU4" s="47"/>
      <c r="AHV4" s="47"/>
      <c r="AHW4" s="47"/>
      <c r="AHX4" s="47"/>
      <c r="AHY4" s="47"/>
      <c r="AHZ4" s="47"/>
      <c r="AIA4" s="47"/>
      <c r="AIB4" s="47"/>
      <c r="AIC4" s="47"/>
      <c r="AID4" s="47"/>
      <c r="AIE4" s="47"/>
      <c r="AIF4" s="47"/>
      <c r="AIG4" s="47"/>
      <c r="AIH4" s="47"/>
      <c r="AII4" s="47"/>
      <c r="AIJ4" s="47"/>
      <c r="AIK4" s="47"/>
      <c r="AIL4" s="47"/>
      <c r="AIM4" s="47"/>
      <c r="AIN4" s="47"/>
      <c r="AIO4" s="47"/>
      <c r="AIP4" s="47"/>
      <c r="AIQ4" s="47"/>
      <c r="AIR4" s="47"/>
      <c r="AIS4" s="47"/>
      <c r="AIT4" s="47"/>
      <c r="AIU4" s="47"/>
      <c r="AIV4" s="47"/>
      <c r="AIW4" s="47"/>
      <c r="AIX4" s="47"/>
      <c r="AIY4" s="47"/>
      <c r="AIZ4" s="47"/>
      <c r="AJA4" s="47"/>
      <c r="AJB4" s="47"/>
      <c r="AJC4" s="47"/>
      <c r="AJD4" s="47"/>
      <c r="AJE4" s="47"/>
      <c r="AJF4" s="47"/>
      <c r="AJG4" s="47"/>
      <c r="AJH4" s="47"/>
      <c r="AJI4" s="47"/>
      <c r="AJJ4" s="47"/>
      <c r="AJK4" s="47"/>
      <c r="AJL4" s="47"/>
      <c r="AJM4" s="47"/>
      <c r="AJN4" s="47"/>
      <c r="AJO4" s="47"/>
      <c r="AJP4" s="47"/>
      <c r="AJQ4" s="47"/>
      <c r="AJR4" s="47"/>
      <c r="AJS4" s="47"/>
      <c r="AJT4" s="47"/>
      <c r="AJU4" s="47"/>
      <c r="AJV4" s="47"/>
      <c r="AJW4" s="47"/>
      <c r="AJX4" s="47"/>
      <c r="AJY4" s="47"/>
      <c r="AJZ4" s="47"/>
      <c r="AKA4" s="47"/>
      <c r="AKB4" s="47"/>
      <c r="AKC4" s="47"/>
      <c r="AKD4" s="47"/>
      <c r="AKE4" s="47"/>
      <c r="AKF4" s="47"/>
      <c r="AKG4" s="47"/>
      <c r="AKH4" s="47"/>
      <c r="AKI4" s="47"/>
      <c r="AKJ4" s="47"/>
      <c r="AKK4" s="47"/>
      <c r="AKL4" s="47"/>
      <c r="AKM4" s="47"/>
      <c r="AKN4" s="47"/>
      <c r="AKO4" s="47"/>
      <c r="AKP4" s="47"/>
      <c r="AKQ4" s="47"/>
      <c r="AKR4" s="47"/>
      <c r="AKS4" s="47"/>
      <c r="AKT4" s="47"/>
      <c r="AKU4" s="47"/>
      <c r="AKV4" s="47"/>
      <c r="AKW4" s="47"/>
      <c r="AKX4" s="47"/>
      <c r="AKY4" s="47"/>
      <c r="AKZ4" s="47"/>
      <c r="ALA4" s="47"/>
      <c r="ALB4" s="47"/>
      <c r="ALC4" s="47"/>
      <c r="ALD4" s="47"/>
      <c r="ALE4" s="47"/>
      <c r="ALF4" s="47"/>
      <c r="ALG4" s="47"/>
      <c r="ALH4" s="47"/>
      <c r="ALI4" s="47"/>
      <c r="ALJ4" s="47"/>
      <c r="ALK4" s="47"/>
      <c r="ALL4" s="47"/>
      <c r="ALM4" s="47"/>
      <c r="ALN4" s="47"/>
      <c r="ALO4" s="47"/>
      <c r="ALP4" s="47"/>
      <c r="ALQ4" s="47"/>
      <c r="ALR4" s="47"/>
      <c r="ALS4" s="47"/>
      <c r="ALT4" s="47"/>
      <c r="ALU4" s="47"/>
      <c r="ALV4" s="47"/>
      <c r="ALW4" s="47"/>
      <c r="ALX4" s="47"/>
      <c r="ALY4" s="47"/>
      <c r="ALZ4" s="47"/>
      <c r="AMA4" s="47"/>
      <c r="AMB4" s="47"/>
      <c r="AMC4" s="47"/>
      <c r="AMD4" s="47"/>
      <c r="AME4" s="47"/>
      <c r="AMF4" s="47"/>
      <c r="AMG4" s="47"/>
      <c r="AMH4" s="47"/>
      <c r="AMI4" s="47"/>
      <c r="AMJ4" s="47"/>
    </row>
    <row r="5" spans="1:1024" s="85" customFormat="1" ht="11.25" customHeight="1" x14ac:dyDescent="0.3">
      <c r="A5" s="38" t="s">
        <v>140</v>
      </c>
      <c r="B5" s="38" t="s">
        <v>108</v>
      </c>
      <c r="C5" s="57" t="s">
        <v>154</v>
      </c>
      <c r="D5" s="46"/>
      <c r="E5" s="46">
        <v>45680</v>
      </c>
      <c r="F5" s="46">
        <v>45680</v>
      </c>
      <c r="G5" s="38" t="s">
        <v>376</v>
      </c>
      <c r="H5" s="39" t="s">
        <v>141</v>
      </c>
      <c r="I5" s="39" t="s">
        <v>113</v>
      </c>
      <c r="J5" s="39" t="s">
        <v>113</v>
      </c>
      <c r="K5" s="57" t="s">
        <v>383</v>
      </c>
      <c r="L5" s="57" t="s">
        <v>223</v>
      </c>
      <c r="M5" s="38" t="s">
        <v>176</v>
      </c>
      <c r="N5" s="57" t="s">
        <v>234</v>
      </c>
      <c r="O5" s="89" t="s">
        <v>144</v>
      </c>
      <c r="P5" s="57" t="s">
        <v>275</v>
      </c>
      <c r="Q5" s="46">
        <v>26361</v>
      </c>
      <c r="R5" s="47"/>
      <c r="S5" s="47"/>
      <c r="T5" s="47"/>
      <c r="U5" s="47"/>
      <c r="V5" s="47" t="s">
        <v>365</v>
      </c>
      <c r="W5" s="46">
        <v>45680</v>
      </c>
      <c r="X5" s="88">
        <v>0.71875</v>
      </c>
      <c r="Y5" s="57" t="s">
        <v>461</v>
      </c>
      <c r="Z5" s="46">
        <v>45681</v>
      </c>
      <c r="AA5" s="47" t="s">
        <v>462</v>
      </c>
      <c r="AB5" s="47" t="s">
        <v>446</v>
      </c>
      <c r="AC5" s="45">
        <v>45681</v>
      </c>
      <c r="AD5" s="87" t="s">
        <v>447</v>
      </c>
      <c r="AE5" s="40" t="s">
        <v>465</v>
      </c>
      <c r="AF5" s="40" t="s">
        <v>128</v>
      </c>
      <c r="AG5" s="47" t="s">
        <v>125</v>
      </c>
      <c r="AH5" s="47" t="s">
        <v>126</v>
      </c>
      <c r="AI5" s="84" t="s">
        <v>123</v>
      </c>
      <c r="AJ5" s="47" t="s">
        <v>124</v>
      </c>
      <c r="AK5" s="58">
        <v>3</v>
      </c>
      <c r="AL5" s="79" t="s">
        <v>369</v>
      </c>
      <c r="AM5" s="86">
        <v>45680</v>
      </c>
      <c r="AN5" s="86">
        <v>45681</v>
      </c>
      <c r="AO5" s="38" t="s">
        <v>366</v>
      </c>
      <c r="AP5" s="47" t="s">
        <v>471</v>
      </c>
      <c r="AQ5" s="79" t="s">
        <v>143</v>
      </c>
      <c r="AR5" s="86"/>
      <c r="AS5" s="86"/>
      <c r="AT5" s="47"/>
      <c r="AU5" s="57" t="s">
        <v>143</v>
      </c>
      <c r="AV5" s="79" t="s">
        <v>143</v>
      </c>
      <c r="AW5" s="86"/>
      <c r="AX5" s="86"/>
      <c r="AY5" s="47"/>
      <c r="AZ5" s="47" t="s">
        <v>143</v>
      </c>
      <c r="BA5" s="38" t="s">
        <v>374</v>
      </c>
      <c r="BB5" s="38" t="s">
        <v>373</v>
      </c>
      <c r="BC5" s="39" t="s">
        <v>374</v>
      </c>
      <c r="BD5" s="41" t="s">
        <v>375</v>
      </c>
      <c r="BE5" s="41">
        <f t="shared" si="0"/>
        <v>45680</v>
      </c>
      <c r="BF5" s="83">
        <v>0.95833333333333337</v>
      </c>
      <c r="BG5" s="38" t="s">
        <v>374</v>
      </c>
      <c r="BH5" s="38" t="s">
        <v>372</v>
      </c>
      <c r="BI5" s="45" t="s">
        <v>374</v>
      </c>
      <c r="BJ5" s="45" t="s">
        <v>375</v>
      </c>
      <c r="BK5" s="45">
        <v>45679</v>
      </c>
      <c r="BL5" s="83">
        <v>0.45833333333333398</v>
      </c>
      <c r="BM5" s="38" t="s">
        <v>466</v>
      </c>
      <c r="BN5" s="39" t="s">
        <v>371</v>
      </c>
      <c r="BO5" s="42" t="s">
        <v>135</v>
      </c>
      <c r="BP5" s="42" t="s">
        <v>372</v>
      </c>
      <c r="BQ5" s="42">
        <v>45679</v>
      </c>
      <c r="BR5" s="83">
        <v>0.45833333333333331</v>
      </c>
      <c r="BS5" s="39" t="s">
        <v>467</v>
      </c>
      <c r="BT5" s="41" t="s">
        <v>372</v>
      </c>
      <c r="BU5" s="39" t="s">
        <v>135</v>
      </c>
      <c r="BV5" s="38" t="s">
        <v>375</v>
      </c>
      <c r="BW5" s="41">
        <f t="shared" si="1"/>
        <v>45681</v>
      </c>
      <c r="BX5" s="83">
        <v>0.70833333333333337</v>
      </c>
      <c r="BY5" s="38"/>
      <c r="BZ5" s="47"/>
      <c r="CA5" s="86"/>
      <c r="CB5" s="86"/>
      <c r="CC5" s="47"/>
      <c r="CD5" s="47"/>
      <c r="CE5" s="86"/>
      <c r="CF5" s="86"/>
      <c r="CG5" s="47"/>
      <c r="CH5" s="47"/>
      <c r="CI5" s="47"/>
      <c r="CJ5" s="47"/>
      <c r="CK5" s="47"/>
      <c r="CL5" s="38"/>
      <c r="CM5" s="38"/>
      <c r="CN5" s="38"/>
      <c r="CO5" s="59"/>
      <c r="CP5" s="38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  <c r="HS5" s="47"/>
      <c r="HT5" s="47"/>
      <c r="HU5" s="47"/>
      <c r="HV5" s="47"/>
      <c r="HW5" s="47"/>
      <c r="HX5" s="47"/>
      <c r="HY5" s="47"/>
      <c r="HZ5" s="47"/>
      <c r="IA5" s="47"/>
      <c r="IB5" s="47"/>
      <c r="IC5" s="47"/>
      <c r="ID5" s="47"/>
      <c r="IE5" s="47"/>
      <c r="IF5" s="47"/>
      <c r="IG5" s="47"/>
      <c r="IH5" s="47"/>
      <c r="II5" s="47"/>
      <c r="IJ5" s="47"/>
      <c r="IK5" s="47"/>
      <c r="IL5" s="47"/>
      <c r="IM5" s="47"/>
      <c r="IN5" s="47"/>
      <c r="IO5" s="47"/>
      <c r="IP5" s="47"/>
      <c r="IQ5" s="47"/>
      <c r="IR5" s="47"/>
      <c r="IS5" s="47"/>
      <c r="IT5" s="47"/>
      <c r="IU5" s="47"/>
      <c r="IV5" s="47"/>
      <c r="IW5" s="47"/>
      <c r="IX5" s="47"/>
      <c r="IY5" s="47"/>
      <c r="IZ5" s="47"/>
      <c r="JA5" s="47"/>
      <c r="JB5" s="47"/>
      <c r="JC5" s="47"/>
      <c r="JD5" s="47"/>
      <c r="JE5" s="47"/>
      <c r="JF5" s="47"/>
      <c r="JG5" s="47"/>
      <c r="JH5" s="47"/>
      <c r="JI5" s="47"/>
      <c r="JJ5" s="47"/>
      <c r="JK5" s="47"/>
      <c r="JL5" s="47"/>
      <c r="JM5" s="47"/>
      <c r="JN5" s="47"/>
      <c r="JO5" s="47"/>
      <c r="JP5" s="47"/>
      <c r="JQ5" s="47"/>
      <c r="JR5" s="47"/>
      <c r="JS5" s="47"/>
      <c r="JT5" s="47"/>
      <c r="JU5" s="47"/>
      <c r="JV5" s="47"/>
      <c r="JW5" s="47"/>
      <c r="JX5" s="47"/>
      <c r="JY5" s="47"/>
      <c r="JZ5" s="47"/>
      <c r="KA5" s="47"/>
      <c r="KB5" s="47"/>
      <c r="KC5" s="47"/>
      <c r="KD5" s="47"/>
      <c r="KE5" s="47"/>
      <c r="KF5" s="47"/>
      <c r="KG5" s="47"/>
      <c r="KH5" s="47"/>
      <c r="KI5" s="47"/>
      <c r="KJ5" s="47"/>
      <c r="KK5" s="47"/>
      <c r="KL5" s="47"/>
      <c r="KM5" s="47"/>
      <c r="KN5" s="47"/>
      <c r="KO5" s="47"/>
      <c r="KP5" s="47"/>
      <c r="KQ5" s="47"/>
      <c r="KR5" s="47"/>
      <c r="KS5" s="47"/>
      <c r="KT5" s="47"/>
      <c r="KU5" s="47"/>
      <c r="KV5" s="47"/>
      <c r="KW5" s="47"/>
      <c r="KX5" s="47"/>
      <c r="KY5" s="47"/>
      <c r="KZ5" s="47"/>
      <c r="LA5" s="47"/>
      <c r="LB5" s="47"/>
      <c r="LC5" s="47"/>
      <c r="LD5" s="47"/>
      <c r="LE5" s="47"/>
      <c r="LF5" s="47"/>
      <c r="LG5" s="47"/>
      <c r="LH5" s="47"/>
      <c r="LI5" s="47"/>
      <c r="LJ5" s="47"/>
      <c r="LK5" s="47"/>
      <c r="LL5" s="47"/>
      <c r="LM5" s="47"/>
      <c r="LN5" s="47"/>
      <c r="LO5" s="47"/>
      <c r="LP5" s="47"/>
      <c r="LQ5" s="47"/>
      <c r="LR5" s="47"/>
      <c r="LS5" s="47"/>
      <c r="LT5" s="47"/>
      <c r="LU5" s="47"/>
      <c r="LV5" s="47"/>
      <c r="LW5" s="47"/>
      <c r="LX5" s="47"/>
      <c r="LY5" s="47"/>
      <c r="LZ5" s="47"/>
      <c r="MA5" s="47"/>
      <c r="MB5" s="47"/>
      <c r="MC5" s="47"/>
      <c r="MD5" s="47"/>
      <c r="ME5" s="47"/>
      <c r="MF5" s="47"/>
      <c r="MG5" s="47"/>
      <c r="MH5" s="47"/>
      <c r="MI5" s="47"/>
      <c r="MJ5" s="47"/>
      <c r="MK5" s="47"/>
      <c r="ML5" s="47"/>
      <c r="MM5" s="47"/>
      <c r="MN5" s="47"/>
      <c r="MO5" s="47"/>
      <c r="MP5" s="47"/>
      <c r="MQ5" s="47"/>
      <c r="MR5" s="47"/>
      <c r="MS5" s="47"/>
      <c r="MT5" s="47"/>
      <c r="MU5" s="47"/>
      <c r="MV5" s="47"/>
      <c r="MW5" s="47"/>
      <c r="MX5" s="47"/>
      <c r="MY5" s="47"/>
      <c r="MZ5" s="47"/>
      <c r="NA5" s="47"/>
      <c r="NB5" s="47"/>
      <c r="NC5" s="47"/>
      <c r="ND5" s="47"/>
      <c r="NE5" s="47"/>
      <c r="NF5" s="47"/>
      <c r="NG5" s="47"/>
      <c r="NH5" s="47"/>
      <c r="NI5" s="47"/>
      <c r="NJ5" s="47"/>
      <c r="NK5" s="47"/>
      <c r="NL5" s="47"/>
      <c r="NM5" s="47"/>
      <c r="NN5" s="47"/>
      <c r="NO5" s="47"/>
      <c r="NP5" s="47"/>
      <c r="NQ5" s="47"/>
      <c r="NR5" s="47"/>
      <c r="NS5" s="47"/>
      <c r="NT5" s="47"/>
      <c r="NU5" s="47"/>
      <c r="NV5" s="47"/>
      <c r="NW5" s="47"/>
      <c r="NX5" s="47"/>
      <c r="NY5" s="47"/>
      <c r="NZ5" s="47"/>
      <c r="OA5" s="47"/>
      <c r="OB5" s="47"/>
      <c r="OC5" s="47"/>
      <c r="OD5" s="47"/>
      <c r="OE5" s="47"/>
      <c r="OF5" s="47"/>
      <c r="OG5" s="47"/>
      <c r="OH5" s="47"/>
      <c r="OI5" s="47"/>
      <c r="OJ5" s="47"/>
      <c r="OK5" s="47"/>
      <c r="OL5" s="47"/>
      <c r="OM5" s="47"/>
      <c r="ON5" s="47"/>
      <c r="OO5" s="47"/>
      <c r="OP5" s="47"/>
      <c r="OQ5" s="47"/>
      <c r="OR5" s="47"/>
      <c r="OS5" s="47"/>
      <c r="OT5" s="47"/>
      <c r="OU5" s="47"/>
      <c r="OV5" s="47"/>
      <c r="OW5" s="47"/>
      <c r="OX5" s="47"/>
      <c r="OY5" s="47"/>
      <c r="OZ5" s="47"/>
      <c r="PA5" s="47"/>
      <c r="PB5" s="47"/>
      <c r="PC5" s="47"/>
      <c r="PD5" s="47"/>
      <c r="PE5" s="47"/>
      <c r="PF5" s="47"/>
      <c r="PG5" s="47"/>
      <c r="PH5" s="47"/>
      <c r="PI5" s="47"/>
      <c r="PJ5" s="47"/>
      <c r="PK5" s="47"/>
      <c r="PL5" s="47"/>
      <c r="PM5" s="47"/>
      <c r="PN5" s="47"/>
      <c r="PO5" s="47"/>
      <c r="PP5" s="47"/>
      <c r="PQ5" s="47"/>
      <c r="PR5" s="47"/>
      <c r="PS5" s="47"/>
      <c r="PT5" s="47"/>
      <c r="PU5" s="47"/>
      <c r="PV5" s="47"/>
      <c r="PW5" s="47"/>
      <c r="PX5" s="47"/>
      <c r="PY5" s="47"/>
      <c r="PZ5" s="47"/>
      <c r="QA5" s="47"/>
      <c r="QB5" s="47"/>
      <c r="QC5" s="47"/>
      <c r="QD5" s="47"/>
      <c r="QE5" s="47"/>
      <c r="QF5" s="47"/>
      <c r="QG5" s="47"/>
      <c r="QH5" s="47"/>
      <c r="QI5" s="47"/>
      <c r="QJ5" s="47"/>
      <c r="QK5" s="47"/>
      <c r="QL5" s="47"/>
      <c r="QM5" s="47"/>
      <c r="QN5" s="47"/>
      <c r="QO5" s="47"/>
      <c r="QP5" s="47"/>
      <c r="QQ5" s="47"/>
      <c r="QR5" s="47"/>
      <c r="QS5" s="47"/>
      <c r="QT5" s="47"/>
      <c r="QU5" s="47"/>
      <c r="QV5" s="47"/>
      <c r="QW5" s="47"/>
      <c r="QX5" s="47"/>
      <c r="QY5" s="47"/>
      <c r="QZ5" s="47"/>
      <c r="RA5" s="47"/>
      <c r="RB5" s="47"/>
      <c r="RC5" s="47"/>
      <c r="RD5" s="47"/>
      <c r="RE5" s="47"/>
      <c r="RF5" s="47"/>
      <c r="RG5" s="47"/>
      <c r="RH5" s="47"/>
      <c r="RI5" s="47"/>
      <c r="RJ5" s="47"/>
      <c r="RK5" s="47"/>
      <c r="RL5" s="47"/>
      <c r="RM5" s="47"/>
      <c r="RN5" s="47"/>
      <c r="RO5" s="47"/>
      <c r="RP5" s="47"/>
      <c r="RQ5" s="47"/>
      <c r="RR5" s="47"/>
      <c r="RS5" s="47"/>
      <c r="RT5" s="47"/>
      <c r="RU5" s="47"/>
      <c r="RV5" s="47"/>
      <c r="RW5" s="47"/>
      <c r="RX5" s="47"/>
      <c r="RY5" s="47"/>
      <c r="RZ5" s="47"/>
      <c r="SA5" s="47"/>
      <c r="SB5" s="47"/>
      <c r="SC5" s="47"/>
      <c r="SD5" s="47"/>
      <c r="SE5" s="47"/>
      <c r="SF5" s="47"/>
      <c r="SG5" s="47"/>
      <c r="SH5" s="47"/>
      <c r="SI5" s="47"/>
      <c r="SJ5" s="47"/>
      <c r="SK5" s="47"/>
      <c r="SL5" s="47"/>
      <c r="SM5" s="47"/>
      <c r="SN5" s="47"/>
      <c r="SO5" s="47"/>
      <c r="SP5" s="47"/>
      <c r="SQ5" s="47"/>
      <c r="SR5" s="47"/>
      <c r="SS5" s="47"/>
      <c r="ST5" s="47"/>
      <c r="SU5" s="47"/>
      <c r="SV5" s="47"/>
      <c r="SW5" s="47"/>
      <c r="SX5" s="47"/>
      <c r="SY5" s="47"/>
      <c r="SZ5" s="47"/>
      <c r="TA5" s="47"/>
      <c r="TB5" s="47"/>
      <c r="TC5" s="47"/>
      <c r="TD5" s="47"/>
      <c r="TE5" s="47"/>
      <c r="TF5" s="47"/>
      <c r="TG5" s="47"/>
      <c r="TH5" s="47"/>
      <c r="TI5" s="47"/>
      <c r="TJ5" s="47"/>
      <c r="TK5" s="47"/>
      <c r="TL5" s="47"/>
      <c r="TM5" s="47"/>
      <c r="TN5" s="47"/>
      <c r="TO5" s="47"/>
      <c r="TP5" s="47"/>
      <c r="TQ5" s="47"/>
      <c r="TR5" s="47"/>
      <c r="TS5" s="47"/>
      <c r="TT5" s="47"/>
      <c r="TU5" s="47"/>
      <c r="TV5" s="47"/>
      <c r="TW5" s="47"/>
      <c r="TX5" s="47"/>
      <c r="TY5" s="47"/>
      <c r="TZ5" s="47"/>
      <c r="UA5" s="47"/>
      <c r="UB5" s="47"/>
      <c r="UC5" s="47"/>
      <c r="UD5" s="47"/>
      <c r="UE5" s="47"/>
      <c r="UF5" s="47"/>
      <c r="UG5" s="47"/>
      <c r="UH5" s="47"/>
      <c r="UI5" s="47"/>
      <c r="UJ5" s="47"/>
      <c r="UK5" s="47"/>
      <c r="UL5" s="47"/>
      <c r="UM5" s="47"/>
      <c r="UN5" s="47"/>
      <c r="UO5" s="47"/>
      <c r="UP5" s="47"/>
      <c r="UQ5" s="47"/>
      <c r="UR5" s="47"/>
      <c r="US5" s="47"/>
      <c r="UT5" s="47"/>
      <c r="UU5" s="47"/>
      <c r="UV5" s="47"/>
      <c r="UW5" s="47"/>
      <c r="UX5" s="47"/>
      <c r="UY5" s="47"/>
      <c r="UZ5" s="47"/>
      <c r="VA5" s="47"/>
      <c r="VB5" s="47"/>
      <c r="VC5" s="47"/>
      <c r="VD5" s="47"/>
      <c r="VE5" s="47"/>
      <c r="VF5" s="47"/>
      <c r="VG5" s="47"/>
      <c r="VH5" s="47"/>
      <c r="VI5" s="47"/>
      <c r="VJ5" s="47"/>
      <c r="VK5" s="47"/>
      <c r="VL5" s="47"/>
      <c r="VM5" s="47"/>
      <c r="VN5" s="47"/>
      <c r="VO5" s="47"/>
      <c r="VP5" s="47"/>
      <c r="VQ5" s="47"/>
      <c r="VR5" s="47"/>
      <c r="VS5" s="47"/>
      <c r="VT5" s="47"/>
      <c r="VU5" s="47"/>
      <c r="VV5" s="47"/>
      <c r="VW5" s="47"/>
      <c r="VX5" s="47"/>
      <c r="VY5" s="47"/>
      <c r="VZ5" s="47"/>
      <c r="WA5" s="47"/>
      <c r="WB5" s="47"/>
      <c r="WC5" s="47"/>
      <c r="WD5" s="47"/>
      <c r="WE5" s="47"/>
      <c r="WF5" s="47"/>
      <c r="WG5" s="47"/>
      <c r="WH5" s="47"/>
      <c r="WI5" s="47"/>
      <c r="WJ5" s="47"/>
      <c r="WK5" s="47"/>
      <c r="WL5" s="47"/>
      <c r="WM5" s="47"/>
      <c r="WN5" s="47"/>
      <c r="WO5" s="47"/>
      <c r="WP5" s="47"/>
      <c r="WQ5" s="47"/>
      <c r="WR5" s="47"/>
      <c r="WS5" s="47"/>
      <c r="WT5" s="47"/>
      <c r="WU5" s="47"/>
      <c r="WV5" s="47"/>
      <c r="WW5" s="47"/>
      <c r="WX5" s="47"/>
      <c r="WY5" s="47"/>
      <c r="WZ5" s="47"/>
      <c r="XA5" s="47"/>
      <c r="XB5" s="47"/>
      <c r="XC5" s="47"/>
      <c r="XD5" s="47"/>
      <c r="XE5" s="47"/>
      <c r="XF5" s="47"/>
      <c r="XG5" s="47"/>
      <c r="XH5" s="47"/>
      <c r="XI5" s="47"/>
      <c r="XJ5" s="47"/>
      <c r="XK5" s="47"/>
      <c r="XL5" s="47"/>
      <c r="XM5" s="47"/>
      <c r="XN5" s="47"/>
      <c r="XO5" s="47"/>
      <c r="XP5" s="47"/>
      <c r="XQ5" s="47"/>
      <c r="XR5" s="47"/>
      <c r="XS5" s="47"/>
      <c r="XT5" s="47"/>
      <c r="XU5" s="47"/>
      <c r="XV5" s="47"/>
      <c r="XW5" s="47"/>
      <c r="XX5" s="47"/>
      <c r="XY5" s="47"/>
      <c r="XZ5" s="47"/>
      <c r="YA5" s="47"/>
      <c r="YB5" s="47"/>
      <c r="YC5" s="47"/>
      <c r="YD5" s="47"/>
      <c r="YE5" s="47"/>
      <c r="YF5" s="47"/>
      <c r="YG5" s="47"/>
      <c r="YH5" s="47"/>
      <c r="YI5" s="47"/>
      <c r="YJ5" s="47"/>
      <c r="YK5" s="47"/>
      <c r="YL5" s="47"/>
      <c r="YM5" s="47"/>
      <c r="YN5" s="47"/>
      <c r="YO5" s="47"/>
      <c r="YP5" s="47"/>
      <c r="YQ5" s="47"/>
      <c r="YR5" s="47"/>
      <c r="YS5" s="47"/>
      <c r="YT5" s="47"/>
      <c r="YU5" s="47"/>
      <c r="YV5" s="47"/>
      <c r="YW5" s="47"/>
      <c r="YX5" s="47"/>
      <c r="YY5" s="47"/>
      <c r="YZ5" s="47"/>
      <c r="ZA5" s="47"/>
      <c r="ZB5" s="47"/>
      <c r="ZC5" s="47"/>
      <c r="ZD5" s="47"/>
      <c r="ZE5" s="47"/>
      <c r="ZF5" s="47"/>
      <c r="ZG5" s="47"/>
      <c r="ZH5" s="47"/>
      <c r="ZI5" s="47"/>
      <c r="ZJ5" s="47"/>
      <c r="ZK5" s="47"/>
      <c r="ZL5" s="47"/>
      <c r="ZM5" s="47"/>
      <c r="ZN5" s="47"/>
      <c r="ZO5" s="47"/>
      <c r="ZP5" s="47"/>
      <c r="ZQ5" s="47"/>
      <c r="ZR5" s="47"/>
      <c r="ZS5" s="47"/>
      <c r="ZT5" s="47"/>
      <c r="ZU5" s="47"/>
      <c r="ZV5" s="47"/>
      <c r="ZW5" s="47"/>
      <c r="ZX5" s="47"/>
      <c r="ZY5" s="47"/>
      <c r="ZZ5" s="47"/>
      <c r="AAA5" s="47"/>
      <c r="AAB5" s="47"/>
      <c r="AAC5" s="47"/>
      <c r="AAD5" s="47"/>
      <c r="AAE5" s="47"/>
      <c r="AAF5" s="47"/>
      <c r="AAG5" s="47"/>
      <c r="AAH5" s="47"/>
      <c r="AAI5" s="47"/>
      <c r="AAJ5" s="47"/>
      <c r="AAK5" s="47"/>
      <c r="AAL5" s="47"/>
      <c r="AAM5" s="47"/>
      <c r="AAN5" s="47"/>
      <c r="AAO5" s="47"/>
      <c r="AAP5" s="47"/>
      <c r="AAQ5" s="47"/>
      <c r="AAR5" s="47"/>
      <c r="AAS5" s="47"/>
      <c r="AAT5" s="47"/>
      <c r="AAU5" s="47"/>
      <c r="AAV5" s="47"/>
      <c r="AAW5" s="47"/>
      <c r="AAX5" s="47"/>
      <c r="AAY5" s="47"/>
      <c r="AAZ5" s="47"/>
      <c r="ABA5" s="47"/>
      <c r="ABB5" s="47"/>
      <c r="ABC5" s="47"/>
      <c r="ABD5" s="47"/>
      <c r="ABE5" s="47"/>
      <c r="ABF5" s="47"/>
      <c r="ABG5" s="47"/>
      <c r="ABH5" s="47"/>
      <c r="ABI5" s="47"/>
      <c r="ABJ5" s="47"/>
      <c r="ABK5" s="47"/>
      <c r="ABL5" s="47"/>
      <c r="ABM5" s="47"/>
      <c r="ABN5" s="47"/>
      <c r="ABO5" s="47"/>
      <c r="ABP5" s="47"/>
      <c r="ABQ5" s="47"/>
      <c r="ABR5" s="47"/>
      <c r="ABS5" s="47"/>
      <c r="ABT5" s="47"/>
      <c r="ABU5" s="47"/>
      <c r="ABV5" s="47"/>
      <c r="ABW5" s="47"/>
      <c r="ABX5" s="47"/>
      <c r="ABY5" s="47"/>
      <c r="ABZ5" s="47"/>
      <c r="ACA5" s="47"/>
      <c r="ACB5" s="47"/>
      <c r="ACC5" s="47"/>
      <c r="ACD5" s="47"/>
      <c r="ACE5" s="47"/>
      <c r="ACF5" s="47"/>
      <c r="ACG5" s="47"/>
      <c r="ACH5" s="47"/>
      <c r="ACI5" s="47"/>
      <c r="ACJ5" s="47"/>
      <c r="ACK5" s="47"/>
      <c r="ACL5" s="47"/>
      <c r="ACM5" s="47"/>
      <c r="ACN5" s="47"/>
      <c r="ACO5" s="47"/>
      <c r="ACP5" s="47"/>
      <c r="ACQ5" s="47"/>
      <c r="ACR5" s="47"/>
      <c r="ACS5" s="47"/>
      <c r="ACT5" s="47"/>
      <c r="ACU5" s="47"/>
      <c r="ACV5" s="47"/>
      <c r="ACW5" s="47"/>
      <c r="ACX5" s="47"/>
      <c r="ACY5" s="47"/>
      <c r="ACZ5" s="47"/>
      <c r="ADA5" s="47"/>
      <c r="ADB5" s="47"/>
      <c r="ADC5" s="47"/>
      <c r="ADD5" s="47"/>
      <c r="ADE5" s="47"/>
      <c r="ADF5" s="47"/>
      <c r="ADG5" s="47"/>
      <c r="ADH5" s="47"/>
      <c r="ADI5" s="47"/>
      <c r="ADJ5" s="47"/>
      <c r="ADK5" s="47"/>
      <c r="ADL5" s="47"/>
      <c r="ADM5" s="47"/>
      <c r="ADN5" s="47"/>
      <c r="ADO5" s="47"/>
      <c r="ADP5" s="47"/>
      <c r="ADQ5" s="47"/>
      <c r="ADR5" s="47"/>
      <c r="ADS5" s="47"/>
      <c r="ADT5" s="47"/>
      <c r="ADU5" s="47"/>
      <c r="ADV5" s="47"/>
      <c r="ADW5" s="47"/>
      <c r="ADX5" s="47"/>
      <c r="ADY5" s="47"/>
      <c r="ADZ5" s="47"/>
      <c r="AEA5" s="47"/>
      <c r="AEB5" s="47"/>
      <c r="AEC5" s="47"/>
      <c r="AED5" s="47"/>
      <c r="AEE5" s="47"/>
      <c r="AEF5" s="47"/>
      <c r="AEG5" s="47"/>
      <c r="AEH5" s="47"/>
      <c r="AEI5" s="47"/>
      <c r="AEJ5" s="47"/>
      <c r="AEK5" s="47"/>
      <c r="AEL5" s="47"/>
      <c r="AEM5" s="47"/>
      <c r="AEN5" s="47"/>
      <c r="AEO5" s="47"/>
      <c r="AEP5" s="47"/>
      <c r="AEQ5" s="47"/>
      <c r="AER5" s="47"/>
      <c r="AES5" s="47"/>
      <c r="AET5" s="47"/>
      <c r="AEU5" s="47"/>
      <c r="AEV5" s="47"/>
      <c r="AEW5" s="47"/>
      <c r="AEX5" s="47"/>
      <c r="AEY5" s="47"/>
      <c r="AEZ5" s="47"/>
      <c r="AFA5" s="47"/>
      <c r="AFB5" s="47"/>
      <c r="AFC5" s="47"/>
      <c r="AFD5" s="47"/>
      <c r="AFE5" s="47"/>
      <c r="AFF5" s="47"/>
      <c r="AFG5" s="47"/>
      <c r="AFH5" s="47"/>
      <c r="AFI5" s="47"/>
      <c r="AFJ5" s="47"/>
      <c r="AFK5" s="47"/>
      <c r="AFL5" s="47"/>
      <c r="AFM5" s="47"/>
      <c r="AFN5" s="47"/>
      <c r="AFO5" s="47"/>
      <c r="AFP5" s="47"/>
      <c r="AFQ5" s="47"/>
      <c r="AFR5" s="47"/>
      <c r="AFS5" s="47"/>
      <c r="AFT5" s="47"/>
      <c r="AFU5" s="47"/>
      <c r="AFV5" s="47"/>
      <c r="AFW5" s="47"/>
      <c r="AFX5" s="47"/>
      <c r="AFY5" s="47"/>
      <c r="AFZ5" s="47"/>
      <c r="AGA5" s="47"/>
      <c r="AGB5" s="47"/>
      <c r="AGC5" s="47"/>
      <c r="AGD5" s="47"/>
      <c r="AGE5" s="47"/>
      <c r="AGF5" s="47"/>
      <c r="AGG5" s="47"/>
      <c r="AGH5" s="47"/>
      <c r="AGI5" s="47"/>
      <c r="AGJ5" s="47"/>
      <c r="AGK5" s="47"/>
      <c r="AGL5" s="47"/>
      <c r="AGM5" s="47"/>
      <c r="AGN5" s="47"/>
      <c r="AGO5" s="47"/>
      <c r="AGP5" s="47"/>
      <c r="AGQ5" s="47"/>
      <c r="AGR5" s="47"/>
      <c r="AGS5" s="47"/>
      <c r="AGT5" s="47"/>
      <c r="AGU5" s="47"/>
      <c r="AGV5" s="47"/>
      <c r="AGW5" s="47"/>
      <c r="AGX5" s="47"/>
      <c r="AGY5" s="47"/>
      <c r="AGZ5" s="47"/>
      <c r="AHA5" s="47"/>
      <c r="AHB5" s="47"/>
      <c r="AHC5" s="47"/>
      <c r="AHD5" s="47"/>
      <c r="AHE5" s="47"/>
      <c r="AHF5" s="47"/>
      <c r="AHG5" s="47"/>
      <c r="AHH5" s="47"/>
      <c r="AHI5" s="47"/>
      <c r="AHJ5" s="47"/>
      <c r="AHK5" s="47"/>
      <c r="AHL5" s="47"/>
      <c r="AHM5" s="47"/>
      <c r="AHN5" s="47"/>
      <c r="AHO5" s="47"/>
      <c r="AHP5" s="47"/>
      <c r="AHQ5" s="47"/>
      <c r="AHR5" s="47"/>
      <c r="AHS5" s="47"/>
      <c r="AHT5" s="47"/>
      <c r="AHU5" s="47"/>
      <c r="AHV5" s="47"/>
      <c r="AHW5" s="47"/>
      <c r="AHX5" s="47"/>
      <c r="AHY5" s="47"/>
      <c r="AHZ5" s="47"/>
      <c r="AIA5" s="47"/>
      <c r="AIB5" s="47"/>
      <c r="AIC5" s="47"/>
      <c r="AID5" s="47"/>
      <c r="AIE5" s="47"/>
      <c r="AIF5" s="47"/>
      <c r="AIG5" s="47"/>
      <c r="AIH5" s="47"/>
      <c r="AII5" s="47"/>
      <c r="AIJ5" s="47"/>
      <c r="AIK5" s="47"/>
      <c r="AIL5" s="47"/>
      <c r="AIM5" s="47"/>
      <c r="AIN5" s="47"/>
      <c r="AIO5" s="47"/>
      <c r="AIP5" s="47"/>
      <c r="AIQ5" s="47"/>
      <c r="AIR5" s="47"/>
      <c r="AIS5" s="47"/>
      <c r="AIT5" s="47"/>
      <c r="AIU5" s="47"/>
      <c r="AIV5" s="47"/>
      <c r="AIW5" s="47"/>
      <c r="AIX5" s="47"/>
      <c r="AIY5" s="47"/>
      <c r="AIZ5" s="47"/>
      <c r="AJA5" s="47"/>
      <c r="AJB5" s="47"/>
      <c r="AJC5" s="47"/>
      <c r="AJD5" s="47"/>
      <c r="AJE5" s="47"/>
      <c r="AJF5" s="47"/>
      <c r="AJG5" s="47"/>
      <c r="AJH5" s="47"/>
      <c r="AJI5" s="47"/>
      <c r="AJJ5" s="47"/>
      <c r="AJK5" s="47"/>
      <c r="AJL5" s="47"/>
      <c r="AJM5" s="47"/>
      <c r="AJN5" s="47"/>
      <c r="AJO5" s="47"/>
      <c r="AJP5" s="47"/>
      <c r="AJQ5" s="47"/>
      <c r="AJR5" s="47"/>
      <c r="AJS5" s="47"/>
      <c r="AJT5" s="47"/>
      <c r="AJU5" s="47"/>
      <c r="AJV5" s="47"/>
      <c r="AJW5" s="47"/>
      <c r="AJX5" s="47"/>
      <c r="AJY5" s="47"/>
      <c r="AJZ5" s="47"/>
      <c r="AKA5" s="47"/>
      <c r="AKB5" s="47"/>
      <c r="AKC5" s="47"/>
      <c r="AKD5" s="47"/>
      <c r="AKE5" s="47"/>
      <c r="AKF5" s="47"/>
      <c r="AKG5" s="47"/>
      <c r="AKH5" s="47"/>
      <c r="AKI5" s="47"/>
      <c r="AKJ5" s="47"/>
      <c r="AKK5" s="47"/>
      <c r="AKL5" s="47"/>
      <c r="AKM5" s="47"/>
      <c r="AKN5" s="47"/>
      <c r="AKO5" s="47"/>
      <c r="AKP5" s="47"/>
      <c r="AKQ5" s="47"/>
      <c r="AKR5" s="47"/>
      <c r="AKS5" s="47"/>
      <c r="AKT5" s="47"/>
      <c r="AKU5" s="47"/>
      <c r="AKV5" s="47"/>
      <c r="AKW5" s="47"/>
      <c r="AKX5" s="47"/>
      <c r="AKY5" s="47"/>
      <c r="AKZ5" s="47"/>
      <c r="ALA5" s="47"/>
      <c r="ALB5" s="47"/>
      <c r="ALC5" s="47"/>
      <c r="ALD5" s="47"/>
      <c r="ALE5" s="47"/>
      <c r="ALF5" s="47"/>
      <c r="ALG5" s="47"/>
      <c r="ALH5" s="47"/>
      <c r="ALI5" s="47"/>
      <c r="ALJ5" s="47"/>
      <c r="ALK5" s="47"/>
      <c r="ALL5" s="47"/>
      <c r="ALM5" s="47"/>
      <c r="ALN5" s="47"/>
      <c r="ALO5" s="47"/>
      <c r="ALP5" s="47"/>
      <c r="ALQ5" s="47"/>
      <c r="ALR5" s="47"/>
      <c r="ALS5" s="47"/>
      <c r="ALT5" s="47"/>
      <c r="ALU5" s="47"/>
      <c r="ALV5" s="47"/>
      <c r="ALW5" s="47"/>
      <c r="ALX5" s="47"/>
      <c r="ALY5" s="47"/>
      <c r="ALZ5" s="47"/>
      <c r="AMA5" s="47"/>
      <c r="AMB5" s="47"/>
      <c r="AMC5" s="47"/>
      <c r="AMD5" s="47"/>
      <c r="AME5" s="47"/>
      <c r="AMF5" s="47"/>
      <c r="AMG5" s="47"/>
      <c r="AMH5" s="47"/>
      <c r="AMI5" s="47"/>
      <c r="AMJ5" s="47"/>
    </row>
    <row r="6" spans="1:1024" s="85" customFormat="1" ht="11.25" customHeight="1" x14ac:dyDescent="0.3">
      <c r="A6" s="38" t="s">
        <v>140</v>
      </c>
      <c r="B6" s="38" t="s">
        <v>108</v>
      </c>
      <c r="C6" s="57" t="s">
        <v>154</v>
      </c>
      <c r="D6" s="46"/>
      <c r="E6" s="46">
        <v>45680</v>
      </c>
      <c r="F6" s="46">
        <v>45680</v>
      </c>
      <c r="G6" s="38" t="s">
        <v>376</v>
      </c>
      <c r="H6" s="39" t="s">
        <v>141</v>
      </c>
      <c r="I6" s="39" t="s">
        <v>113</v>
      </c>
      <c r="J6" s="39" t="s">
        <v>113</v>
      </c>
      <c r="K6" s="57" t="s">
        <v>384</v>
      </c>
      <c r="L6" s="57" t="s">
        <v>385</v>
      </c>
      <c r="M6" s="38" t="s">
        <v>176</v>
      </c>
      <c r="N6" s="57" t="s">
        <v>224</v>
      </c>
      <c r="O6" s="89" t="s">
        <v>273</v>
      </c>
      <c r="P6" s="57" t="s">
        <v>419</v>
      </c>
      <c r="Q6" s="46">
        <v>27249</v>
      </c>
      <c r="R6" s="47"/>
      <c r="S6" s="47"/>
      <c r="T6" s="47"/>
      <c r="U6" s="47"/>
      <c r="V6" s="47" t="s">
        <v>365</v>
      </c>
      <c r="W6" s="46">
        <v>45680</v>
      </c>
      <c r="X6" s="88">
        <v>0.71875</v>
      </c>
      <c r="Y6" s="57" t="s">
        <v>456</v>
      </c>
      <c r="Z6" s="46">
        <v>45681</v>
      </c>
      <c r="AA6" s="47" t="s">
        <v>463</v>
      </c>
      <c r="AB6" s="47" t="s">
        <v>444</v>
      </c>
      <c r="AC6" s="45">
        <v>45681</v>
      </c>
      <c r="AD6" s="87" t="s">
        <v>448</v>
      </c>
      <c r="AE6" s="40" t="s">
        <v>465</v>
      </c>
      <c r="AF6" s="40" t="s">
        <v>128</v>
      </c>
      <c r="AG6" s="47" t="s">
        <v>125</v>
      </c>
      <c r="AH6" s="47" t="s">
        <v>126</v>
      </c>
      <c r="AI6" s="84" t="s">
        <v>123</v>
      </c>
      <c r="AJ6" s="47" t="s">
        <v>124</v>
      </c>
      <c r="AK6" s="58">
        <v>3</v>
      </c>
      <c r="AL6" s="79" t="s">
        <v>143</v>
      </c>
      <c r="AM6" s="86"/>
      <c r="AN6" s="86"/>
      <c r="AO6" s="38"/>
      <c r="AP6" s="47" t="s">
        <v>143</v>
      </c>
      <c r="AQ6" s="79" t="s">
        <v>143</v>
      </c>
      <c r="AR6" s="86"/>
      <c r="AS6" s="86"/>
      <c r="AT6" s="47"/>
      <c r="AU6" s="57" t="s">
        <v>143</v>
      </c>
      <c r="AV6" s="79" t="s">
        <v>143</v>
      </c>
      <c r="AW6" s="86"/>
      <c r="AX6" s="86"/>
      <c r="AY6" s="47"/>
      <c r="AZ6" s="47" t="s">
        <v>143</v>
      </c>
      <c r="BA6" s="38" t="s">
        <v>374</v>
      </c>
      <c r="BB6" s="38" t="s">
        <v>373</v>
      </c>
      <c r="BC6" s="39" t="s">
        <v>374</v>
      </c>
      <c r="BD6" s="41" t="s">
        <v>375</v>
      </c>
      <c r="BE6" s="41">
        <f t="shared" si="0"/>
        <v>45680</v>
      </c>
      <c r="BF6" s="83">
        <v>0</v>
      </c>
      <c r="BG6" s="38" t="s">
        <v>374</v>
      </c>
      <c r="BH6" s="38" t="s">
        <v>372</v>
      </c>
      <c r="BI6" s="45" t="s">
        <v>374</v>
      </c>
      <c r="BJ6" s="45" t="s">
        <v>375</v>
      </c>
      <c r="BK6" s="45">
        <v>45679</v>
      </c>
      <c r="BL6" s="83">
        <v>0.5</v>
      </c>
      <c r="BM6" s="38" t="s">
        <v>143</v>
      </c>
      <c r="BN6" s="46"/>
      <c r="BO6" s="38"/>
      <c r="BP6" s="38"/>
      <c r="BQ6" s="46"/>
      <c r="BR6" s="83"/>
      <c r="BS6" s="46" t="s">
        <v>143</v>
      </c>
      <c r="BT6" s="46"/>
      <c r="BU6" s="46"/>
      <c r="BV6" s="46"/>
      <c r="BW6" s="46"/>
      <c r="BX6" s="83"/>
      <c r="BY6" s="38"/>
      <c r="BZ6" s="47"/>
      <c r="CA6" s="86"/>
      <c r="CB6" s="86"/>
      <c r="CC6" s="47"/>
      <c r="CD6" s="47"/>
      <c r="CE6" s="86"/>
      <c r="CF6" s="86"/>
      <c r="CG6" s="47"/>
      <c r="CH6" s="47"/>
      <c r="CI6" s="47"/>
      <c r="CJ6" s="47"/>
      <c r="CK6" s="47"/>
      <c r="CL6" s="38"/>
      <c r="CM6" s="38"/>
      <c r="CN6" s="38"/>
      <c r="CO6" s="59"/>
      <c r="CP6" s="38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</row>
    <row r="7" spans="1:1024" s="85" customFormat="1" ht="11.25" customHeight="1" x14ac:dyDescent="0.3">
      <c r="A7" s="38" t="s">
        <v>140</v>
      </c>
      <c r="B7" s="38" t="s">
        <v>108</v>
      </c>
      <c r="C7" s="57" t="s">
        <v>154</v>
      </c>
      <c r="D7" s="46"/>
      <c r="E7" s="46">
        <v>45680</v>
      </c>
      <c r="F7" s="46">
        <v>45680</v>
      </c>
      <c r="G7" s="38" t="s">
        <v>376</v>
      </c>
      <c r="H7" s="39" t="s">
        <v>141</v>
      </c>
      <c r="I7" s="39" t="s">
        <v>113</v>
      </c>
      <c r="J7" s="39" t="s">
        <v>113</v>
      </c>
      <c r="K7" s="57" t="s">
        <v>386</v>
      </c>
      <c r="L7" s="57" t="s">
        <v>222</v>
      </c>
      <c r="M7" s="38" t="s">
        <v>176</v>
      </c>
      <c r="N7" s="57" t="s">
        <v>226</v>
      </c>
      <c r="O7" s="89" t="s">
        <v>243</v>
      </c>
      <c r="P7" s="57" t="s">
        <v>274</v>
      </c>
      <c r="Q7" s="46">
        <v>30773</v>
      </c>
      <c r="R7" s="47"/>
      <c r="S7" s="47"/>
      <c r="T7" s="47"/>
      <c r="U7" s="47"/>
      <c r="V7" s="47" t="s">
        <v>365</v>
      </c>
      <c r="W7" s="46">
        <v>45680</v>
      </c>
      <c r="X7" s="88">
        <v>0.71875</v>
      </c>
      <c r="Y7" s="57" t="s">
        <v>457</v>
      </c>
      <c r="Z7" s="46">
        <v>45680</v>
      </c>
      <c r="AA7" s="47" t="s">
        <v>458</v>
      </c>
      <c r="AB7" s="47" t="s">
        <v>454</v>
      </c>
      <c r="AC7" s="45">
        <v>45681</v>
      </c>
      <c r="AD7" s="87" t="s">
        <v>455</v>
      </c>
      <c r="AE7" s="40" t="s">
        <v>465</v>
      </c>
      <c r="AF7" s="40" t="s">
        <v>128</v>
      </c>
      <c r="AG7" s="47" t="s">
        <v>125</v>
      </c>
      <c r="AH7" s="47" t="s">
        <v>126</v>
      </c>
      <c r="AI7" s="84" t="s">
        <v>123</v>
      </c>
      <c r="AJ7" s="47" t="s">
        <v>124</v>
      </c>
      <c r="AK7" s="58">
        <v>3</v>
      </c>
      <c r="AL7" s="79" t="s">
        <v>143</v>
      </c>
      <c r="AM7" s="86"/>
      <c r="AN7" s="86"/>
      <c r="AO7" s="38"/>
      <c r="AP7" s="47" t="s">
        <v>143</v>
      </c>
      <c r="AQ7" s="79" t="s">
        <v>143</v>
      </c>
      <c r="AR7" s="86"/>
      <c r="AS7" s="86"/>
      <c r="AT7" s="47"/>
      <c r="AU7" s="57" t="s">
        <v>143</v>
      </c>
      <c r="AV7" s="79" t="s">
        <v>143</v>
      </c>
      <c r="AW7" s="86"/>
      <c r="AX7" s="86"/>
      <c r="AY7" s="47"/>
      <c r="AZ7" s="47" t="s">
        <v>143</v>
      </c>
      <c r="BA7" s="38" t="s">
        <v>374</v>
      </c>
      <c r="BB7" s="38" t="s">
        <v>373</v>
      </c>
      <c r="BC7" s="39" t="s">
        <v>374</v>
      </c>
      <c r="BD7" s="41" t="s">
        <v>375</v>
      </c>
      <c r="BE7" s="41">
        <f t="shared" si="0"/>
        <v>45680</v>
      </c>
      <c r="BF7" s="83">
        <v>4.1666666666666664E-2</v>
      </c>
      <c r="BG7" s="38" t="s">
        <v>374</v>
      </c>
      <c r="BH7" s="38" t="s">
        <v>372</v>
      </c>
      <c r="BI7" s="45" t="s">
        <v>374</v>
      </c>
      <c r="BJ7" s="45" t="s">
        <v>375</v>
      </c>
      <c r="BK7" s="45">
        <v>45679</v>
      </c>
      <c r="BL7" s="83">
        <v>0.54166666666666796</v>
      </c>
      <c r="BM7" s="39" t="s">
        <v>143</v>
      </c>
      <c r="BN7" s="41"/>
      <c r="BO7" s="39"/>
      <c r="BP7" s="38"/>
      <c r="BQ7" s="41"/>
      <c r="BR7" s="83"/>
      <c r="BS7" s="41" t="s">
        <v>143</v>
      </c>
      <c r="BT7" s="41"/>
      <c r="BU7" s="41"/>
      <c r="BV7" s="41"/>
      <c r="BW7" s="41"/>
      <c r="BX7" s="83"/>
      <c r="BY7" s="38"/>
      <c r="BZ7" s="47"/>
      <c r="CA7" s="86"/>
      <c r="CB7" s="86"/>
      <c r="CC7" s="47"/>
      <c r="CD7" s="47"/>
      <c r="CE7" s="86"/>
      <c r="CF7" s="86"/>
      <c r="CG7" s="47"/>
      <c r="CH7" s="47"/>
      <c r="CI7" s="47"/>
      <c r="CJ7" s="47"/>
      <c r="CK7" s="47"/>
      <c r="CL7" s="38"/>
      <c r="CM7" s="38"/>
      <c r="CN7" s="38"/>
      <c r="CO7" s="59"/>
      <c r="CP7" s="38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</row>
    <row r="8" spans="1:1024" s="85" customFormat="1" ht="11.25" customHeight="1" x14ac:dyDescent="0.3">
      <c r="A8" s="38" t="s">
        <v>140</v>
      </c>
      <c r="B8" s="38" t="s">
        <v>108</v>
      </c>
      <c r="C8" s="57" t="s">
        <v>154</v>
      </c>
      <c r="D8" s="46"/>
      <c r="E8" s="46">
        <v>45680</v>
      </c>
      <c r="F8" s="46">
        <v>45680</v>
      </c>
      <c r="G8" s="38" t="s">
        <v>376</v>
      </c>
      <c r="H8" s="39" t="s">
        <v>141</v>
      </c>
      <c r="I8" s="39" t="s">
        <v>113</v>
      </c>
      <c r="J8" s="39" t="s">
        <v>113</v>
      </c>
      <c r="K8" s="57" t="s">
        <v>387</v>
      </c>
      <c r="L8" s="57" t="s">
        <v>193</v>
      </c>
      <c r="M8" s="38" t="s">
        <v>176</v>
      </c>
      <c r="N8" s="57" t="s">
        <v>169</v>
      </c>
      <c r="O8" s="89" t="s">
        <v>248</v>
      </c>
      <c r="P8" s="57" t="s">
        <v>420</v>
      </c>
      <c r="Q8" s="46">
        <v>32092</v>
      </c>
      <c r="R8" s="47"/>
      <c r="S8" s="47"/>
      <c r="T8" s="47"/>
      <c r="U8" s="47"/>
      <c r="V8" s="47" t="s">
        <v>365</v>
      </c>
      <c r="W8" s="46">
        <v>45680</v>
      </c>
      <c r="X8" s="88">
        <v>0.71875</v>
      </c>
      <c r="Y8" s="57" t="s">
        <v>457</v>
      </c>
      <c r="Z8" s="46">
        <v>45680</v>
      </c>
      <c r="AA8" s="47" t="s">
        <v>458</v>
      </c>
      <c r="AB8" s="47" t="s">
        <v>438</v>
      </c>
      <c r="AC8" s="45">
        <v>45681</v>
      </c>
      <c r="AD8" s="87" t="s">
        <v>439</v>
      </c>
      <c r="AE8" s="40" t="s">
        <v>465</v>
      </c>
      <c r="AF8" s="40" t="s">
        <v>128</v>
      </c>
      <c r="AG8" s="47" t="s">
        <v>125</v>
      </c>
      <c r="AH8" s="47" t="s">
        <v>126</v>
      </c>
      <c r="AI8" s="84" t="s">
        <v>123</v>
      </c>
      <c r="AJ8" s="47" t="s">
        <v>124</v>
      </c>
      <c r="AK8" s="58">
        <v>3</v>
      </c>
      <c r="AL8" s="79" t="s">
        <v>143</v>
      </c>
      <c r="AM8" s="86"/>
      <c r="AN8" s="86"/>
      <c r="AO8" s="38"/>
      <c r="AP8" s="47" t="s">
        <v>143</v>
      </c>
      <c r="AQ8" s="79" t="s">
        <v>143</v>
      </c>
      <c r="AR8" s="86"/>
      <c r="AS8" s="86"/>
      <c r="AT8" s="47"/>
      <c r="AU8" s="57" t="s">
        <v>143</v>
      </c>
      <c r="AV8" s="79" t="s">
        <v>143</v>
      </c>
      <c r="AW8" s="86"/>
      <c r="AX8" s="86"/>
      <c r="AY8" s="47"/>
      <c r="AZ8" s="47" t="s">
        <v>143</v>
      </c>
      <c r="BA8" s="38" t="s">
        <v>374</v>
      </c>
      <c r="BB8" s="38" t="s">
        <v>373</v>
      </c>
      <c r="BC8" s="39" t="s">
        <v>374</v>
      </c>
      <c r="BD8" s="41" t="s">
        <v>375</v>
      </c>
      <c r="BE8" s="41">
        <f t="shared" si="0"/>
        <v>45680</v>
      </c>
      <c r="BF8" s="83">
        <v>8.3333333333333329E-2</v>
      </c>
      <c r="BG8" s="38" t="s">
        <v>374</v>
      </c>
      <c r="BH8" s="38" t="s">
        <v>372</v>
      </c>
      <c r="BI8" s="45" t="s">
        <v>374</v>
      </c>
      <c r="BJ8" s="45" t="s">
        <v>375</v>
      </c>
      <c r="BK8" s="45">
        <v>45679</v>
      </c>
      <c r="BL8" s="83">
        <v>0.58333333333333404</v>
      </c>
      <c r="BM8" s="39" t="s">
        <v>143</v>
      </c>
      <c r="BN8" s="41"/>
      <c r="BO8" s="39"/>
      <c r="BP8" s="38"/>
      <c r="BQ8" s="41"/>
      <c r="BR8" s="83"/>
      <c r="BS8" s="41" t="s">
        <v>143</v>
      </c>
      <c r="BT8" s="41"/>
      <c r="BU8" s="41"/>
      <c r="BV8" s="41"/>
      <c r="BW8" s="41"/>
      <c r="BX8" s="83"/>
      <c r="BY8" s="38"/>
      <c r="BZ8" s="47"/>
      <c r="CA8" s="86"/>
      <c r="CB8" s="86"/>
      <c r="CC8" s="47"/>
      <c r="CD8" s="47"/>
      <c r="CE8" s="86"/>
      <c r="CF8" s="86"/>
      <c r="CG8" s="47"/>
      <c r="CH8" s="47"/>
      <c r="CI8" s="47"/>
      <c r="CJ8" s="47"/>
      <c r="CK8" s="47"/>
      <c r="CL8" s="38"/>
      <c r="CM8" s="38"/>
      <c r="CN8" s="38"/>
      <c r="CO8" s="59"/>
      <c r="CP8" s="38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</row>
    <row r="9" spans="1:1024" s="85" customFormat="1" ht="11.25" customHeight="1" x14ac:dyDescent="0.3">
      <c r="A9" s="38" t="s">
        <v>140</v>
      </c>
      <c r="B9" s="38" t="s">
        <v>108</v>
      </c>
      <c r="C9" s="57" t="s">
        <v>154</v>
      </c>
      <c r="D9" s="46"/>
      <c r="E9" s="46">
        <v>45680</v>
      </c>
      <c r="F9" s="46">
        <v>45680</v>
      </c>
      <c r="G9" s="38" t="s">
        <v>376</v>
      </c>
      <c r="H9" s="39" t="s">
        <v>141</v>
      </c>
      <c r="I9" s="39" t="s">
        <v>113</v>
      </c>
      <c r="J9" s="39" t="s">
        <v>113</v>
      </c>
      <c r="K9" s="57" t="s">
        <v>388</v>
      </c>
      <c r="L9" s="57" t="s">
        <v>389</v>
      </c>
      <c r="M9" s="38" t="s">
        <v>368</v>
      </c>
      <c r="N9" s="57" t="s">
        <v>169</v>
      </c>
      <c r="O9" s="89" t="s">
        <v>160</v>
      </c>
      <c r="P9" s="57" t="s">
        <v>421</v>
      </c>
      <c r="Q9" s="46">
        <v>31488</v>
      </c>
      <c r="R9" s="47"/>
      <c r="S9" s="47"/>
      <c r="T9" s="47"/>
      <c r="U9" s="47"/>
      <c r="V9" s="47" t="s">
        <v>365</v>
      </c>
      <c r="W9" s="46">
        <v>45680</v>
      </c>
      <c r="X9" s="88">
        <v>0.71875</v>
      </c>
      <c r="Y9" s="57" t="s">
        <v>457</v>
      </c>
      <c r="Z9" s="46">
        <v>45680</v>
      </c>
      <c r="AA9" s="47" t="s">
        <v>458</v>
      </c>
      <c r="AB9" s="47" t="s">
        <v>443</v>
      </c>
      <c r="AC9" s="45">
        <v>45681</v>
      </c>
      <c r="AD9" s="87" t="s">
        <v>450</v>
      </c>
      <c r="AE9" s="40" t="s">
        <v>465</v>
      </c>
      <c r="AF9" s="40" t="s">
        <v>128</v>
      </c>
      <c r="AG9" s="47" t="s">
        <v>125</v>
      </c>
      <c r="AH9" s="47" t="s">
        <v>126</v>
      </c>
      <c r="AI9" s="84" t="s">
        <v>123</v>
      </c>
      <c r="AJ9" s="47" t="s">
        <v>124</v>
      </c>
      <c r="AK9" s="58">
        <v>3</v>
      </c>
      <c r="AL9" s="79" t="s">
        <v>143</v>
      </c>
      <c r="AM9" s="86"/>
      <c r="AN9" s="86"/>
      <c r="AO9" s="38"/>
      <c r="AP9" s="47" t="s">
        <v>143</v>
      </c>
      <c r="AQ9" s="79" t="s">
        <v>143</v>
      </c>
      <c r="AR9" s="86"/>
      <c r="AS9" s="86"/>
      <c r="AT9" s="47"/>
      <c r="AU9" s="57" t="s">
        <v>143</v>
      </c>
      <c r="AV9" s="79" t="s">
        <v>143</v>
      </c>
      <c r="AW9" s="86"/>
      <c r="AX9" s="86"/>
      <c r="AY9" s="47"/>
      <c r="AZ9" s="47" t="s">
        <v>143</v>
      </c>
      <c r="BA9" s="38" t="s">
        <v>374</v>
      </c>
      <c r="BB9" s="38" t="s">
        <v>373</v>
      </c>
      <c r="BC9" s="39" t="s">
        <v>374</v>
      </c>
      <c r="BD9" s="41" t="s">
        <v>375</v>
      </c>
      <c r="BE9" s="41">
        <f t="shared" si="0"/>
        <v>45680</v>
      </c>
      <c r="BF9" s="83">
        <v>0.125</v>
      </c>
      <c r="BG9" s="38" t="s">
        <v>374</v>
      </c>
      <c r="BH9" s="38" t="s">
        <v>372</v>
      </c>
      <c r="BI9" s="45" t="s">
        <v>374</v>
      </c>
      <c r="BJ9" s="45" t="s">
        <v>375</v>
      </c>
      <c r="BK9" s="45">
        <v>45679</v>
      </c>
      <c r="BL9" s="83">
        <v>0.625</v>
      </c>
      <c r="BM9" s="39" t="s">
        <v>143</v>
      </c>
      <c r="BN9" s="41"/>
      <c r="BO9" s="39"/>
      <c r="BP9" s="38"/>
      <c r="BQ9" s="41"/>
      <c r="BR9" s="83"/>
      <c r="BS9" s="41" t="s">
        <v>143</v>
      </c>
      <c r="BT9" s="41"/>
      <c r="BU9" s="41"/>
      <c r="BV9" s="41"/>
      <c r="BW9" s="41"/>
      <c r="BX9" s="83"/>
      <c r="BY9" s="38"/>
      <c r="BZ9" s="47"/>
      <c r="CA9" s="86"/>
      <c r="CB9" s="86"/>
      <c r="CC9" s="47"/>
      <c r="CD9" s="47"/>
      <c r="CE9" s="86"/>
      <c r="CF9" s="86"/>
      <c r="CG9" s="47"/>
      <c r="CH9" s="47"/>
      <c r="CI9" s="47"/>
      <c r="CJ9" s="47"/>
      <c r="CK9" s="47"/>
      <c r="CL9" s="38"/>
      <c r="CM9" s="38"/>
      <c r="CN9" s="38"/>
      <c r="CO9" s="59"/>
      <c r="CP9" s="38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</row>
    <row r="10" spans="1:1024" s="85" customFormat="1" ht="11.25" customHeight="1" x14ac:dyDescent="0.3">
      <c r="A10" s="38" t="s">
        <v>140</v>
      </c>
      <c r="B10" s="38" t="s">
        <v>108</v>
      </c>
      <c r="C10" s="57" t="s">
        <v>154</v>
      </c>
      <c r="D10" s="46"/>
      <c r="E10" s="46">
        <v>45680</v>
      </c>
      <c r="F10" s="46">
        <v>45680</v>
      </c>
      <c r="G10" s="38" t="s">
        <v>376</v>
      </c>
      <c r="H10" s="39" t="s">
        <v>141</v>
      </c>
      <c r="I10" s="39" t="s">
        <v>113</v>
      </c>
      <c r="J10" s="39" t="s">
        <v>113</v>
      </c>
      <c r="K10" s="57" t="s">
        <v>390</v>
      </c>
      <c r="L10" s="57" t="s">
        <v>391</v>
      </c>
      <c r="M10" s="38" t="s">
        <v>176</v>
      </c>
      <c r="N10" s="57" t="s">
        <v>224</v>
      </c>
      <c r="O10" s="89" t="s">
        <v>271</v>
      </c>
      <c r="P10" s="57" t="s">
        <v>422</v>
      </c>
      <c r="Q10" s="46">
        <v>29706</v>
      </c>
      <c r="R10" s="47"/>
      <c r="S10" s="47"/>
      <c r="T10" s="47"/>
      <c r="U10" s="47"/>
      <c r="V10" s="47" t="s">
        <v>365</v>
      </c>
      <c r="W10" s="46">
        <v>45680</v>
      </c>
      <c r="X10" s="88">
        <v>0.71875</v>
      </c>
      <c r="Y10" s="57" t="s">
        <v>457</v>
      </c>
      <c r="Z10" s="46">
        <v>45680</v>
      </c>
      <c r="AA10" s="47" t="s">
        <v>458</v>
      </c>
      <c r="AB10" s="47" t="s">
        <v>444</v>
      </c>
      <c r="AC10" s="45">
        <v>45681</v>
      </c>
      <c r="AD10" s="87" t="s">
        <v>448</v>
      </c>
      <c r="AE10" s="40" t="s">
        <v>465</v>
      </c>
      <c r="AF10" s="40" t="s">
        <v>128</v>
      </c>
      <c r="AG10" s="47" t="s">
        <v>125</v>
      </c>
      <c r="AH10" s="47" t="s">
        <v>126</v>
      </c>
      <c r="AI10" s="84" t="s">
        <v>123</v>
      </c>
      <c r="AJ10" s="47" t="s">
        <v>124</v>
      </c>
      <c r="AK10" s="58">
        <v>3</v>
      </c>
      <c r="AL10" s="79" t="s">
        <v>143</v>
      </c>
      <c r="AM10" s="86"/>
      <c r="AN10" s="86"/>
      <c r="AO10" s="38"/>
      <c r="AP10" s="47" t="s">
        <v>143</v>
      </c>
      <c r="AQ10" s="79" t="s">
        <v>143</v>
      </c>
      <c r="AR10" s="86"/>
      <c r="AS10" s="86"/>
      <c r="AT10" s="47"/>
      <c r="AU10" s="57" t="s">
        <v>143</v>
      </c>
      <c r="AV10" s="79" t="s">
        <v>464</v>
      </c>
      <c r="AW10" s="86">
        <v>45680</v>
      </c>
      <c r="AX10" s="86">
        <v>45681</v>
      </c>
      <c r="AY10" s="47" t="s">
        <v>366</v>
      </c>
      <c r="AZ10" s="47" t="s">
        <v>472</v>
      </c>
      <c r="BA10" s="38" t="s">
        <v>374</v>
      </c>
      <c r="BB10" s="38" t="s">
        <v>373</v>
      </c>
      <c r="BC10" s="39" t="s">
        <v>374</v>
      </c>
      <c r="BD10" s="41" t="s">
        <v>375</v>
      </c>
      <c r="BE10" s="41">
        <f t="shared" si="0"/>
        <v>45680</v>
      </c>
      <c r="BF10" s="83">
        <v>0.16666666666666666</v>
      </c>
      <c r="BG10" s="38" t="s">
        <v>374</v>
      </c>
      <c r="BH10" s="38" t="s">
        <v>372</v>
      </c>
      <c r="BI10" s="45" t="s">
        <v>374</v>
      </c>
      <c r="BJ10" s="45" t="s">
        <v>375</v>
      </c>
      <c r="BK10" s="45">
        <v>45679</v>
      </c>
      <c r="BL10" s="83">
        <v>0.66666666666666796</v>
      </c>
      <c r="BM10" s="39" t="s">
        <v>143</v>
      </c>
      <c r="BN10" s="41"/>
      <c r="BO10" s="39"/>
      <c r="BP10" s="38"/>
      <c r="BQ10" s="41"/>
      <c r="BR10" s="83"/>
      <c r="BS10" s="41" t="s">
        <v>143</v>
      </c>
      <c r="BT10" s="41"/>
      <c r="BU10" s="41"/>
      <c r="BV10" s="41"/>
      <c r="BW10" s="41"/>
      <c r="BX10" s="83"/>
      <c r="BY10" s="38"/>
      <c r="BZ10" s="47"/>
      <c r="CA10" s="86"/>
      <c r="CB10" s="86"/>
      <c r="CC10" s="47"/>
      <c r="CD10" s="47"/>
      <c r="CE10" s="86"/>
      <c r="CF10" s="86"/>
      <c r="CG10" s="47"/>
      <c r="CH10" s="47"/>
      <c r="CI10" s="47"/>
      <c r="CJ10" s="47"/>
      <c r="CK10" s="47"/>
      <c r="CL10" s="38"/>
      <c r="CM10" s="38"/>
      <c r="CN10" s="38"/>
      <c r="CO10" s="59"/>
      <c r="CP10" s="38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</row>
    <row r="11" spans="1:1024" s="85" customFormat="1" ht="11.25" customHeight="1" x14ac:dyDescent="0.3">
      <c r="A11" s="38" t="s">
        <v>140</v>
      </c>
      <c r="B11" s="38" t="s">
        <v>108</v>
      </c>
      <c r="C11" s="57" t="s">
        <v>154</v>
      </c>
      <c r="D11" s="46"/>
      <c r="E11" s="46">
        <v>45680</v>
      </c>
      <c r="F11" s="46">
        <v>45680</v>
      </c>
      <c r="G11" s="38" t="s">
        <v>376</v>
      </c>
      <c r="H11" s="39" t="s">
        <v>141</v>
      </c>
      <c r="I11" s="39" t="s">
        <v>113</v>
      </c>
      <c r="J11" s="39" t="s">
        <v>113</v>
      </c>
      <c r="K11" s="57" t="s">
        <v>392</v>
      </c>
      <c r="L11" s="57" t="s">
        <v>393</v>
      </c>
      <c r="M11" s="38" t="s">
        <v>176</v>
      </c>
      <c r="N11" s="57" t="s">
        <v>224</v>
      </c>
      <c r="O11" s="89" t="s">
        <v>236</v>
      </c>
      <c r="P11" s="57" t="s">
        <v>423</v>
      </c>
      <c r="Q11" s="46">
        <v>31963</v>
      </c>
      <c r="R11" s="47"/>
      <c r="S11" s="47"/>
      <c r="T11" s="47"/>
      <c r="U11" s="47"/>
      <c r="V11" s="47" t="s">
        <v>365</v>
      </c>
      <c r="W11" s="46">
        <v>45680</v>
      </c>
      <c r="X11" s="88">
        <v>0.71875</v>
      </c>
      <c r="Y11" s="57" t="s">
        <v>457</v>
      </c>
      <c r="Z11" s="46">
        <v>45680</v>
      </c>
      <c r="AA11" s="47" t="s">
        <v>458</v>
      </c>
      <c r="AB11" s="47" t="s">
        <v>444</v>
      </c>
      <c r="AC11" s="45">
        <v>45681</v>
      </c>
      <c r="AD11" s="87" t="s">
        <v>448</v>
      </c>
      <c r="AE11" s="40" t="s">
        <v>465</v>
      </c>
      <c r="AF11" s="40" t="s">
        <v>128</v>
      </c>
      <c r="AG11" s="47" t="s">
        <v>125</v>
      </c>
      <c r="AH11" s="47" t="s">
        <v>126</v>
      </c>
      <c r="AI11" s="84" t="s">
        <v>123</v>
      </c>
      <c r="AJ11" s="47" t="s">
        <v>124</v>
      </c>
      <c r="AK11" s="58">
        <v>3</v>
      </c>
      <c r="AL11" s="79" t="s">
        <v>143</v>
      </c>
      <c r="AM11" s="86"/>
      <c r="AN11" s="86"/>
      <c r="AO11" s="38"/>
      <c r="AP11" s="47" t="s">
        <v>143</v>
      </c>
      <c r="AQ11" s="79" t="s">
        <v>143</v>
      </c>
      <c r="AR11" s="86"/>
      <c r="AS11" s="86"/>
      <c r="AT11" s="47"/>
      <c r="AU11" s="57" t="s">
        <v>143</v>
      </c>
      <c r="AV11" s="79" t="s">
        <v>464</v>
      </c>
      <c r="AW11" s="86">
        <v>45680</v>
      </c>
      <c r="AX11" s="86">
        <v>45681</v>
      </c>
      <c r="AY11" s="47" t="s">
        <v>366</v>
      </c>
      <c r="AZ11" s="47" t="s">
        <v>472</v>
      </c>
      <c r="BA11" s="38" t="s">
        <v>374</v>
      </c>
      <c r="BB11" s="38" t="s">
        <v>373</v>
      </c>
      <c r="BC11" s="39" t="s">
        <v>374</v>
      </c>
      <c r="BD11" s="41" t="s">
        <v>375</v>
      </c>
      <c r="BE11" s="41">
        <f t="shared" si="0"/>
        <v>45680</v>
      </c>
      <c r="BF11" s="83">
        <v>0.20833333333333334</v>
      </c>
      <c r="BG11" s="38" t="s">
        <v>374</v>
      </c>
      <c r="BH11" s="38" t="s">
        <v>372</v>
      </c>
      <c r="BI11" s="45" t="s">
        <v>374</v>
      </c>
      <c r="BJ11" s="45" t="s">
        <v>375</v>
      </c>
      <c r="BK11" s="45">
        <v>45679</v>
      </c>
      <c r="BL11" s="83">
        <v>0.70833333333333404</v>
      </c>
      <c r="BM11" s="39" t="s">
        <v>143</v>
      </c>
      <c r="BN11" s="41"/>
      <c r="BO11" s="39"/>
      <c r="BP11" s="38"/>
      <c r="BQ11" s="41"/>
      <c r="BR11" s="83"/>
      <c r="BS11" s="41" t="s">
        <v>143</v>
      </c>
      <c r="BT11" s="41"/>
      <c r="BU11" s="41"/>
      <c r="BV11" s="41"/>
      <c r="BW11" s="41"/>
      <c r="BX11" s="83"/>
      <c r="BY11" s="38"/>
      <c r="BZ11" s="47"/>
      <c r="CA11" s="86"/>
      <c r="CB11" s="86"/>
      <c r="CC11" s="47"/>
      <c r="CD11" s="47"/>
      <c r="CE11" s="86"/>
      <c r="CF11" s="86"/>
      <c r="CG11" s="47"/>
      <c r="CH11" s="47"/>
      <c r="CI11" s="47"/>
      <c r="CJ11" s="47"/>
      <c r="CK11" s="47"/>
      <c r="CL11" s="38"/>
      <c r="CM11" s="38"/>
      <c r="CN11" s="38"/>
      <c r="CO11" s="59"/>
      <c r="CP11" s="38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  <c r="AKK11" s="47"/>
      <c r="AKL11" s="47"/>
      <c r="AKM11" s="47"/>
      <c r="AKN11" s="47"/>
      <c r="AKO11" s="47"/>
      <c r="AKP11" s="47"/>
      <c r="AKQ11" s="47"/>
      <c r="AKR11" s="47"/>
      <c r="AKS11" s="47"/>
      <c r="AKT11" s="47"/>
      <c r="AKU11" s="47"/>
      <c r="AKV11" s="47"/>
      <c r="AKW11" s="47"/>
      <c r="AKX11" s="47"/>
      <c r="AKY11" s="47"/>
      <c r="AKZ11" s="47"/>
      <c r="ALA11" s="47"/>
      <c r="ALB11" s="47"/>
      <c r="ALC11" s="47"/>
      <c r="ALD11" s="47"/>
      <c r="ALE11" s="47"/>
      <c r="ALF11" s="47"/>
      <c r="ALG11" s="47"/>
      <c r="ALH11" s="47"/>
      <c r="ALI11" s="47"/>
      <c r="ALJ11" s="47"/>
      <c r="ALK11" s="47"/>
      <c r="ALL11" s="47"/>
      <c r="ALM11" s="47"/>
      <c r="ALN11" s="47"/>
      <c r="ALO11" s="47"/>
      <c r="ALP11" s="47"/>
      <c r="ALQ11" s="47"/>
      <c r="ALR11" s="47"/>
      <c r="ALS11" s="47"/>
      <c r="ALT11" s="47"/>
      <c r="ALU11" s="47"/>
      <c r="ALV11" s="47"/>
      <c r="ALW11" s="47"/>
      <c r="ALX11" s="47"/>
      <c r="ALY11" s="47"/>
      <c r="ALZ11" s="47"/>
      <c r="AMA11" s="47"/>
      <c r="AMB11" s="47"/>
      <c r="AMC11" s="47"/>
      <c r="AMD11" s="47"/>
      <c r="AME11" s="47"/>
      <c r="AMF11" s="47"/>
      <c r="AMG11" s="47"/>
      <c r="AMH11" s="47"/>
      <c r="AMI11" s="47"/>
      <c r="AMJ11" s="47"/>
    </row>
    <row r="12" spans="1:1024" s="85" customFormat="1" ht="11.25" customHeight="1" x14ac:dyDescent="0.3">
      <c r="A12" s="38" t="s">
        <v>140</v>
      </c>
      <c r="B12" s="38" t="s">
        <v>108</v>
      </c>
      <c r="C12" s="57" t="s">
        <v>154</v>
      </c>
      <c r="D12" s="46"/>
      <c r="E12" s="46">
        <v>45680</v>
      </c>
      <c r="F12" s="46">
        <v>45680</v>
      </c>
      <c r="G12" s="38" t="s">
        <v>376</v>
      </c>
      <c r="H12" s="39" t="s">
        <v>141</v>
      </c>
      <c r="I12" s="39" t="s">
        <v>113</v>
      </c>
      <c r="J12" s="39" t="s">
        <v>113</v>
      </c>
      <c r="K12" s="57" t="s">
        <v>394</v>
      </c>
      <c r="L12" s="57" t="s">
        <v>395</v>
      </c>
      <c r="M12" s="38" t="s">
        <v>176</v>
      </c>
      <c r="N12" s="57" t="s">
        <v>148</v>
      </c>
      <c r="O12" s="89" t="s">
        <v>240</v>
      </c>
      <c r="P12" s="57" t="s">
        <v>424</v>
      </c>
      <c r="Q12" s="46">
        <v>36699</v>
      </c>
      <c r="R12" s="47"/>
      <c r="S12" s="47"/>
      <c r="T12" s="47"/>
      <c r="U12" s="47"/>
      <c r="V12" s="47" t="s">
        <v>365</v>
      </c>
      <c r="W12" s="46">
        <v>45680</v>
      </c>
      <c r="X12" s="88">
        <v>0.50694444444444442</v>
      </c>
      <c r="Y12" s="57" t="s">
        <v>457</v>
      </c>
      <c r="Z12" s="46">
        <v>45680</v>
      </c>
      <c r="AA12" s="47" t="s">
        <v>458</v>
      </c>
      <c r="AB12" s="47" t="s">
        <v>436</v>
      </c>
      <c r="AC12" s="45">
        <v>45681</v>
      </c>
      <c r="AD12" s="87" t="s">
        <v>445</v>
      </c>
      <c r="AE12" s="40" t="s">
        <v>465</v>
      </c>
      <c r="AF12" s="40" t="s">
        <v>128</v>
      </c>
      <c r="AG12" s="47" t="s">
        <v>125</v>
      </c>
      <c r="AH12" s="47" t="s">
        <v>126</v>
      </c>
      <c r="AI12" s="84" t="s">
        <v>123</v>
      </c>
      <c r="AJ12" s="47" t="s">
        <v>124</v>
      </c>
      <c r="AK12" s="58">
        <v>2</v>
      </c>
      <c r="AL12" s="79" t="s">
        <v>143</v>
      </c>
      <c r="AM12" s="86"/>
      <c r="AN12" s="86"/>
      <c r="AO12" s="38"/>
      <c r="AP12" s="47" t="s">
        <v>143</v>
      </c>
      <c r="AQ12" s="79" t="s">
        <v>143</v>
      </c>
      <c r="AR12" s="86"/>
      <c r="AS12" s="86"/>
      <c r="AT12" s="47"/>
      <c r="AU12" s="57" t="s">
        <v>143</v>
      </c>
      <c r="AV12" s="79" t="s">
        <v>464</v>
      </c>
      <c r="AW12" s="86">
        <v>45680</v>
      </c>
      <c r="AX12" s="86">
        <v>45681</v>
      </c>
      <c r="AY12" s="47" t="s">
        <v>367</v>
      </c>
      <c r="AZ12" s="47" t="s">
        <v>472</v>
      </c>
      <c r="BA12" s="38" t="s">
        <v>374</v>
      </c>
      <c r="BB12" s="38" t="s">
        <v>373</v>
      </c>
      <c r="BC12" s="39" t="s">
        <v>374</v>
      </c>
      <c r="BD12" s="41" t="s">
        <v>375</v>
      </c>
      <c r="BE12" s="41">
        <f t="shared" si="0"/>
        <v>45680</v>
      </c>
      <c r="BF12" s="83">
        <v>0.25</v>
      </c>
      <c r="BG12" s="38" t="s">
        <v>374</v>
      </c>
      <c r="BH12" s="38" t="s">
        <v>372</v>
      </c>
      <c r="BI12" s="45" t="s">
        <v>374</v>
      </c>
      <c r="BJ12" s="45" t="s">
        <v>375</v>
      </c>
      <c r="BK12" s="45">
        <v>45679</v>
      </c>
      <c r="BL12" s="83">
        <v>0.75</v>
      </c>
      <c r="BM12" s="39" t="s">
        <v>143</v>
      </c>
      <c r="BN12" s="41"/>
      <c r="BO12" s="39"/>
      <c r="BP12" s="38"/>
      <c r="BQ12" s="41"/>
      <c r="BR12" s="83"/>
      <c r="BS12" s="41" t="s">
        <v>143</v>
      </c>
      <c r="BT12" s="41"/>
      <c r="BU12" s="41"/>
      <c r="BV12" s="41"/>
      <c r="BW12" s="41"/>
      <c r="BX12" s="83"/>
      <c r="BY12" s="38"/>
      <c r="BZ12" s="47"/>
      <c r="CA12" s="86"/>
      <c r="CB12" s="86"/>
      <c r="CC12" s="47"/>
      <c r="CD12" s="47"/>
      <c r="CE12" s="86"/>
      <c r="CF12" s="86"/>
      <c r="CG12" s="47"/>
      <c r="CH12" s="47"/>
      <c r="CI12" s="47"/>
      <c r="CJ12" s="47"/>
      <c r="CK12" s="47"/>
      <c r="CL12" s="38"/>
      <c r="CM12" s="38"/>
      <c r="CN12" s="38"/>
      <c r="CO12" s="59"/>
      <c r="CP12" s="38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7"/>
      <c r="UZ12" s="47"/>
      <c r="VA12" s="47"/>
      <c r="VB12" s="47"/>
      <c r="VC12" s="47"/>
      <c r="VD12" s="47"/>
      <c r="VE12" s="47"/>
      <c r="VF12" s="47"/>
      <c r="VG12" s="47"/>
      <c r="VH12" s="47"/>
      <c r="VI12" s="47"/>
      <c r="VJ12" s="47"/>
      <c r="VK12" s="47"/>
      <c r="VL12" s="47"/>
      <c r="VM12" s="47"/>
      <c r="VN12" s="47"/>
      <c r="VO12" s="47"/>
      <c r="VP12" s="47"/>
      <c r="VQ12" s="47"/>
      <c r="VR12" s="47"/>
      <c r="VS12" s="47"/>
      <c r="VT12" s="47"/>
      <c r="VU12" s="47"/>
      <c r="VV12" s="47"/>
      <c r="VW12" s="47"/>
      <c r="VX12" s="47"/>
      <c r="VY12" s="47"/>
      <c r="VZ12" s="47"/>
      <c r="WA12" s="47"/>
      <c r="WB12" s="47"/>
      <c r="WC12" s="47"/>
      <c r="WD12" s="47"/>
      <c r="WE12" s="47"/>
      <c r="WF12" s="47"/>
      <c r="WG12" s="47"/>
      <c r="WH12" s="47"/>
      <c r="WI12" s="47"/>
      <c r="WJ12" s="47"/>
      <c r="WK12" s="47"/>
      <c r="WL12" s="47"/>
      <c r="WM12" s="47"/>
      <c r="WN12" s="47"/>
      <c r="WO12" s="47"/>
      <c r="WP12" s="47"/>
      <c r="WQ12" s="47"/>
      <c r="WR12" s="47"/>
      <c r="WS12" s="47"/>
      <c r="WT12" s="47"/>
      <c r="WU12" s="47"/>
      <c r="WV12" s="47"/>
      <c r="WW12" s="47"/>
      <c r="WX12" s="47"/>
      <c r="WY12" s="47"/>
      <c r="WZ12" s="47"/>
      <c r="XA12" s="47"/>
      <c r="XB12" s="47"/>
      <c r="XC12" s="47"/>
      <c r="XD12" s="47"/>
      <c r="XE12" s="47"/>
      <c r="XF12" s="47"/>
      <c r="XG12" s="47"/>
      <c r="XH12" s="47"/>
      <c r="XI12" s="47"/>
      <c r="XJ12" s="47"/>
      <c r="XK12" s="47"/>
      <c r="XL12" s="47"/>
      <c r="XM12" s="47"/>
      <c r="XN12" s="47"/>
      <c r="XO12" s="47"/>
      <c r="XP12" s="47"/>
      <c r="XQ12" s="47"/>
      <c r="XR12" s="47"/>
      <c r="XS12" s="47"/>
      <c r="XT12" s="47"/>
      <c r="XU12" s="47"/>
      <c r="XV12" s="47"/>
      <c r="XW12" s="47"/>
      <c r="XX12" s="47"/>
      <c r="XY12" s="47"/>
      <c r="XZ12" s="47"/>
      <c r="YA12" s="47"/>
      <c r="YB12" s="47"/>
      <c r="YC12" s="47"/>
      <c r="YD12" s="47"/>
      <c r="YE12" s="47"/>
      <c r="YF12" s="47"/>
      <c r="YG12" s="47"/>
      <c r="YH12" s="47"/>
      <c r="YI12" s="47"/>
      <c r="YJ12" s="47"/>
      <c r="YK12" s="47"/>
      <c r="YL12" s="47"/>
      <c r="YM12" s="47"/>
      <c r="YN12" s="47"/>
      <c r="YO12" s="47"/>
      <c r="YP12" s="47"/>
      <c r="YQ12" s="47"/>
      <c r="YR12" s="47"/>
      <c r="YS12" s="47"/>
      <c r="YT12" s="47"/>
      <c r="YU12" s="47"/>
      <c r="YV12" s="47"/>
      <c r="YW12" s="47"/>
      <c r="YX12" s="47"/>
      <c r="YY12" s="47"/>
      <c r="YZ12" s="47"/>
      <c r="ZA12" s="47"/>
      <c r="ZB12" s="47"/>
      <c r="ZC12" s="47"/>
      <c r="ZD12" s="47"/>
      <c r="ZE12" s="47"/>
      <c r="ZF12" s="47"/>
      <c r="ZG12" s="47"/>
      <c r="ZH12" s="47"/>
      <c r="ZI12" s="47"/>
      <c r="ZJ12" s="47"/>
      <c r="ZK12" s="47"/>
      <c r="ZL12" s="47"/>
      <c r="ZM12" s="47"/>
      <c r="ZN12" s="47"/>
      <c r="ZO12" s="47"/>
      <c r="ZP12" s="47"/>
      <c r="ZQ12" s="47"/>
      <c r="ZR12" s="47"/>
      <c r="ZS12" s="47"/>
      <c r="ZT12" s="47"/>
      <c r="ZU12" s="47"/>
      <c r="ZV12" s="47"/>
      <c r="ZW12" s="47"/>
      <c r="ZX12" s="47"/>
      <c r="ZY12" s="47"/>
      <c r="ZZ12" s="47"/>
      <c r="AAA12" s="47"/>
      <c r="AAB12" s="47"/>
      <c r="AAC12" s="47"/>
      <c r="AAD12" s="47"/>
      <c r="AAE12" s="47"/>
      <c r="AAF12" s="47"/>
      <c r="AAG12" s="47"/>
      <c r="AAH12" s="47"/>
      <c r="AAI12" s="47"/>
      <c r="AAJ12" s="47"/>
      <c r="AAK12" s="47"/>
      <c r="AAL12" s="47"/>
      <c r="AAM12" s="47"/>
      <c r="AAN12" s="47"/>
      <c r="AAO12" s="47"/>
      <c r="AAP12" s="47"/>
      <c r="AAQ12" s="47"/>
      <c r="AAR12" s="47"/>
      <c r="AAS12" s="47"/>
      <c r="AAT12" s="47"/>
      <c r="AAU12" s="47"/>
      <c r="AAV12" s="47"/>
      <c r="AAW12" s="47"/>
      <c r="AAX12" s="47"/>
      <c r="AAY12" s="47"/>
      <c r="AAZ12" s="47"/>
      <c r="ABA12" s="47"/>
      <c r="ABB12" s="47"/>
      <c r="ABC12" s="47"/>
      <c r="ABD12" s="47"/>
      <c r="ABE12" s="47"/>
      <c r="ABF12" s="47"/>
      <c r="ABG12" s="47"/>
      <c r="ABH12" s="47"/>
      <c r="ABI12" s="47"/>
      <c r="ABJ12" s="47"/>
      <c r="ABK12" s="47"/>
      <c r="ABL12" s="47"/>
      <c r="ABM12" s="47"/>
      <c r="ABN12" s="47"/>
      <c r="ABO12" s="47"/>
      <c r="ABP12" s="47"/>
      <c r="ABQ12" s="47"/>
      <c r="ABR12" s="47"/>
      <c r="ABS12" s="47"/>
      <c r="ABT12" s="47"/>
      <c r="ABU12" s="47"/>
      <c r="ABV12" s="47"/>
      <c r="ABW12" s="47"/>
      <c r="ABX12" s="47"/>
      <c r="ABY12" s="47"/>
      <c r="ABZ12" s="47"/>
      <c r="ACA12" s="47"/>
      <c r="ACB12" s="47"/>
      <c r="ACC12" s="47"/>
      <c r="ACD12" s="47"/>
      <c r="ACE12" s="47"/>
      <c r="ACF12" s="47"/>
      <c r="ACG12" s="47"/>
      <c r="ACH12" s="47"/>
      <c r="ACI12" s="47"/>
      <c r="ACJ12" s="47"/>
      <c r="ACK12" s="47"/>
      <c r="ACL12" s="47"/>
      <c r="ACM12" s="47"/>
      <c r="ACN12" s="47"/>
      <c r="ACO12" s="47"/>
      <c r="ACP12" s="47"/>
      <c r="ACQ12" s="47"/>
      <c r="ACR12" s="47"/>
      <c r="ACS12" s="47"/>
      <c r="ACT12" s="47"/>
      <c r="ACU12" s="47"/>
      <c r="ACV12" s="47"/>
      <c r="ACW12" s="47"/>
      <c r="ACX12" s="47"/>
      <c r="ACY12" s="47"/>
      <c r="ACZ12" s="47"/>
      <c r="ADA12" s="47"/>
      <c r="ADB12" s="47"/>
      <c r="ADC12" s="47"/>
      <c r="ADD12" s="47"/>
      <c r="ADE12" s="47"/>
      <c r="ADF12" s="47"/>
      <c r="ADG12" s="47"/>
      <c r="ADH12" s="47"/>
      <c r="ADI12" s="47"/>
      <c r="ADJ12" s="47"/>
      <c r="ADK12" s="47"/>
      <c r="ADL12" s="47"/>
      <c r="ADM12" s="47"/>
      <c r="ADN12" s="47"/>
      <c r="ADO12" s="47"/>
      <c r="ADP12" s="47"/>
      <c r="ADQ12" s="47"/>
      <c r="ADR12" s="47"/>
      <c r="ADS12" s="47"/>
      <c r="ADT12" s="47"/>
      <c r="ADU12" s="47"/>
      <c r="ADV12" s="47"/>
      <c r="ADW12" s="47"/>
      <c r="ADX12" s="47"/>
      <c r="ADY12" s="47"/>
      <c r="ADZ12" s="47"/>
      <c r="AEA12" s="47"/>
      <c r="AEB12" s="47"/>
      <c r="AEC12" s="47"/>
      <c r="AED12" s="47"/>
      <c r="AEE12" s="47"/>
      <c r="AEF12" s="47"/>
      <c r="AEG12" s="47"/>
      <c r="AEH12" s="47"/>
      <c r="AEI12" s="47"/>
      <c r="AEJ12" s="47"/>
      <c r="AEK12" s="47"/>
      <c r="AEL12" s="47"/>
      <c r="AEM12" s="47"/>
      <c r="AEN12" s="47"/>
      <c r="AEO12" s="47"/>
      <c r="AEP12" s="47"/>
      <c r="AEQ12" s="47"/>
      <c r="AER12" s="47"/>
      <c r="AES12" s="47"/>
      <c r="AET12" s="47"/>
      <c r="AEU12" s="47"/>
      <c r="AEV12" s="47"/>
      <c r="AEW12" s="47"/>
      <c r="AEX12" s="47"/>
      <c r="AEY12" s="47"/>
      <c r="AEZ12" s="47"/>
      <c r="AFA12" s="47"/>
      <c r="AFB12" s="47"/>
      <c r="AFC12" s="47"/>
      <c r="AFD12" s="47"/>
      <c r="AFE12" s="47"/>
      <c r="AFF12" s="47"/>
      <c r="AFG12" s="47"/>
      <c r="AFH12" s="47"/>
      <c r="AFI12" s="47"/>
      <c r="AFJ12" s="47"/>
      <c r="AFK12" s="47"/>
      <c r="AFL12" s="47"/>
      <c r="AFM12" s="47"/>
      <c r="AFN12" s="47"/>
      <c r="AFO12" s="47"/>
      <c r="AFP12" s="47"/>
      <c r="AFQ12" s="47"/>
      <c r="AFR12" s="47"/>
      <c r="AFS12" s="47"/>
      <c r="AFT12" s="47"/>
      <c r="AFU12" s="47"/>
      <c r="AFV12" s="47"/>
      <c r="AFW12" s="47"/>
      <c r="AFX12" s="47"/>
      <c r="AFY12" s="47"/>
      <c r="AFZ12" s="47"/>
      <c r="AGA12" s="47"/>
      <c r="AGB12" s="47"/>
      <c r="AGC12" s="47"/>
      <c r="AGD12" s="47"/>
      <c r="AGE12" s="47"/>
      <c r="AGF12" s="47"/>
      <c r="AGG12" s="47"/>
      <c r="AGH12" s="47"/>
      <c r="AGI12" s="47"/>
      <c r="AGJ12" s="47"/>
      <c r="AGK12" s="47"/>
      <c r="AGL12" s="47"/>
      <c r="AGM12" s="47"/>
      <c r="AGN12" s="47"/>
      <c r="AGO12" s="47"/>
      <c r="AGP12" s="47"/>
      <c r="AGQ12" s="47"/>
      <c r="AGR12" s="47"/>
      <c r="AGS12" s="47"/>
      <c r="AGT12" s="47"/>
      <c r="AGU12" s="47"/>
      <c r="AGV12" s="47"/>
      <c r="AGW12" s="47"/>
      <c r="AGX12" s="47"/>
      <c r="AGY12" s="47"/>
      <c r="AGZ12" s="47"/>
      <c r="AHA12" s="47"/>
      <c r="AHB12" s="47"/>
      <c r="AHC12" s="47"/>
      <c r="AHD12" s="47"/>
      <c r="AHE12" s="47"/>
      <c r="AHF12" s="47"/>
      <c r="AHG12" s="47"/>
      <c r="AHH12" s="47"/>
      <c r="AHI12" s="47"/>
      <c r="AHJ12" s="47"/>
      <c r="AHK12" s="47"/>
      <c r="AHL12" s="47"/>
      <c r="AHM12" s="47"/>
      <c r="AHN12" s="47"/>
      <c r="AHO12" s="47"/>
      <c r="AHP12" s="47"/>
      <c r="AHQ12" s="47"/>
      <c r="AHR12" s="47"/>
      <c r="AHS12" s="47"/>
      <c r="AHT12" s="47"/>
      <c r="AHU12" s="47"/>
      <c r="AHV12" s="47"/>
      <c r="AHW12" s="47"/>
      <c r="AHX12" s="47"/>
      <c r="AHY12" s="47"/>
      <c r="AHZ12" s="47"/>
      <c r="AIA12" s="47"/>
      <c r="AIB12" s="47"/>
      <c r="AIC12" s="47"/>
      <c r="AID12" s="47"/>
      <c r="AIE12" s="47"/>
      <c r="AIF12" s="47"/>
      <c r="AIG12" s="47"/>
      <c r="AIH12" s="47"/>
      <c r="AII12" s="47"/>
      <c r="AIJ12" s="47"/>
      <c r="AIK12" s="47"/>
      <c r="AIL12" s="47"/>
      <c r="AIM12" s="47"/>
      <c r="AIN12" s="47"/>
      <c r="AIO12" s="47"/>
      <c r="AIP12" s="47"/>
      <c r="AIQ12" s="47"/>
      <c r="AIR12" s="47"/>
      <c r="AIS12" s="47"/>
      <c r="AIT12" s="47"/>
      <c r="AIU12" s="47"/>
      <c r="AIV12" s="47"/>
      <c r="AIW12" s="47"/>
      <c r="AIX12" s="47"/>
      <c r="AIY12" s="47"/>
      <c r="AIZ12" s="47"/>
      <c r="AJA12" s="47"/>
      <c r="AJB12" s="47"/>
      <c r="AJC12" s="47"/>
      <c r="AJD12" s="47"/>
      <c r="AJE12" s="47"/>
      <c r="AJF12" s="47"/>
      <c r="AJG12" s="47"/>
      <c r="AJH12" s="47"/>
      <c r="AJI12" s="47"/>
      <c r="AJJ12" s="47"/>
      <c r="AJK12" s="47"/>
      <c r="AJL12" s="47"/>
      <c r="AJM12" s="47"/>
      <c r="AJN12" s="47"/>
      <c r="AJO12" s="47"/>
      <c r="AJP12" s="47"/>
      <c r="AJQ12" s="47"/>
      <c r="AJR12" s="47"/>
      <c r="AJS12" s="47"/>
      <c r="AJT12" s="47"/>
      <c r="AJU12" s="47"/>
      <c r="AJV12" s="47"/>
      <c r="AJW12" s="47"/>
      <c r="AJX12" s="47"/>
      <c r="AJY12" s="47"/>
      <c r="AJZ12" s="47"/>
      <c r="AKA12" s="47"/>
      <c r="AKB12" s="47"/>
      <c r="AKC12" s="47"/>
      <c r="AKD12" s="47"/>
      <c r="AKE12" s="47"/>
      <c r="AKF12" s="47"/>
      <c r="AKG12" s="47"/>
      <c r="AKH12" s="47"/>
      <c r="AKI12" s="47"/>
      <c r="AKJ12" s="47"/>
      <c r="AKK12" s="47"/>
      <c r="AKL12" s="47"/>
      <c r="AKM12" s="47"/>
      <c r="AKN12" s="47"/>
      <c r="AKO12" s="47"/>
      <c r="AKP12" s="47"/>
      <c r="AKQ12" s="47"/>
      <c r="AKR12" s="47"/>
      <c r="AKS12" s="47"/>
      <c r="AKT12" s="47"/>
      <c r="AKU12" s="47"/>
      <c r="AKV12" s="47"/>
      <c r="AKW12" s="47"/>
      <c r="AKX12" s="47"/>
      <c r="AKY12" s="47"/>
      <c r="AKZ12" s="47"/>
      <c r="ALA12" s="47"/>
      <c r="ALB12" s="47"/>
      <c r="ALC12" s="47"/>
      <c r="ALD12" s="47"/>
      <c r="ALE12" s="47"/>
      <c r="ALF12" s="47"/>
      <c r="ALG12" s="47"/>
      <c r="ALH12" s="47"/>
      <c r="ALI12" s="47"/>
      <c r="ALJ12" s="47"/>
      <c r="ALK12" s="47"/>
      <c r="ALL12" s="47"/>
      <c r="ALM12" s="47"/>
      <c r="ALN12" s="47"/>
      <c r="ALO12" s="47"/>
      <c r="ALP12" s="47"/>
      <c r="ALQ12" s="47"/>
      <c r="ALR12" s="47"/>
      <c r="ALS12" s="47"/>
      <c r="ALT12" s="47"/>
      <c r="ALU12" s="47"/>
      <c r="ALV12" s="47"/>
      <c r="ALW12" s="47"/>
      <c r="ALX12" s="47"/>
      <c r="ALY12" s="47"/>
      <c r="ALZ12" s="47"/>
      <c r="AMA12" s="47"/>
      <c r="AMB12" s="47"/>
      <c r="AMC12" s="47"/>
      <c r="AMD12" s="47"/>
      <c r="AME12" s="47"/>
      <c r="AMF12" s="47"/>
      <c r="AMG12" s="47"/>
      <c r="AMH12" s="47"/>
      <c r="AMI12" s="47"/>
      <c r="AMJ12" s="47"/>
    </row>
    <row r="13" spans="1:1024" s="85" customFormat="1" ht="11.25" customHeight="1" x14ac:dyDescent="0.3">
      <c r="A13" s="38" t="s">
        <v>140</v>
      </c>
      <c r="B13" s="38" t="s">
        <v>108</v>
      </c>
      <c r="C13" s="57" t="s">
        <v>154</v>
      </c>
      <c r="D13" s="46"/>
      <c r="E13" s="46">
        <v>45680</v>
      </c>
      <c r="F13" s="46">
        <v>45680</v>
      </c>
      <c r="G13" s="38" t="s">
        <v>376</v>
      </c>
      <c r="H13" s="39" t="s">
        <v>141</v>
      </c>
      <c r="I13" s="39" t="s">
        <v>113</v>
      </c>
      <c r="J13" s="39" t="s">
        <v>113</v>
      </c>
      <c r="K13" s="57" t="s">
        <v>396</v>
      </c>
      <c r="L13" s="57" t="s">
        <v>397</v>
      </c>
      <c r="M13" s="38" t="s">
        <v>368</v>
      </c>
      <c r="N13" s="57" t="s">
        <v>229</v>
      </c>
      <c r="O13" s="57" t="s">
        <v>268</v>
      </c>
      <c r="P13" s="57" t="s">
        <v>425</v>
      </c>
      <c r="Q13" s="46">
        <v>33289</v>
      </c>
      <c r="R13" s="47"/>
      <c r="S13" s="47"/>
      <c r="T13" s="47"/>
      <c r="U13" s="47"/>
      <c r="V13" s="47" t="s">
        <v>365</v>
      </c>
      <c r="W13" s="46">
        <v>45680</v>
      </c>
      <c r="X13" s="83">
        <v>0.8125</v>
      </c>
      <c r="Y13" s="57" t="s">
        <v>457</v>
      </c>
      <c r="Z13" s="46">
        <v>45680</v>
      </c>
      <c r="AA13" s="47" t="s">
        <v>458</v>
      </c>
      <c r="AB13" s="47" t="s">
        <v>440</v>
      </c>
      <c r="AC13" s="45">
        <v>45681</v>
      </c>
      <c r="AD13" s="87" t="s">
        <v>441</v>
      </c>
      <c r="AE13" s="40" t="s">
        <v>465</v>
      </c>
      <c r="AF13" s="40" t="s">
        <v>128</v>
      </c>
      <c r="AG13" s="47" t="s">
        <v>125</v>
      </c>
      <c r="AH13" s="47" t="s">
        <v>126</v>
      </c>
      <c r="AI13" s="84" t="s">
        <v>123</v>
      </c>
      <c r="AJ13" s="47" t="s">
        <v>124</v>
      </c>
      <c r="AK13" s="58">
        <v>3</v>
      </c>
      <c r="AL13" s="79" t="s">
        <v>143</v>
      </c>
      <c r="AM13" s="86"/>
      <c r="AN13" s="86"/>
      <c r="AO13" s="38"/>
      <c r="AP13" s="47" t="s">
        <v>143</v>
      </c>
      <c r="AQ13" s="79" t="s">
        <v>143</v>
      </c>
      <c r="AR13" s="86"/>
      <c r="AS13" s="86"/>
      <c r="AT13" s="47"/>
      <c r="AU13" s="57" t="s">
        <v>143</v>
      </c>
      <c r="AV13" s="79" t="s">
        <v>143</v>
      </c>
      <c r="AW13" s="86"/>
      <c r="AX13" s="86"/>
      <c r="AY13" s="47"/>
      <c r="AZ13" s="47" t="s">
        <v>143</v>
      </c>
      <c r="BA13" s="38" t="s">
        <v>374</v>
      </c>
      <c r="BB13" s="38" t="s">
        <v>373</v>
      </c>
      <c r="BC13" s="39" t="s">
        <v>374</v>
      </c>
      <c r="BD13" s="41" t="s">
        <v>375</v>
      </c>
      <c r="BE13" s="41">
        <f t="shared" si="0"/>
        <v>45680</v>
      </c>
      <c r="BF13" s="83">
        <v>0.29166666666666669</v>
      </c>
      <c r="BG13" s="38" t="s">
        <v>374</v>
      </c>
      <c r="BH13" s="38" t="s">
        <v>372</v>
      </c>
      <c r="BI13" s="45" t="s">
        <v>374</v>
      </c>
      <c r="BJ13" s="45" t="s">
        <v>375</v>
      </c>
      <c r="BK13" s="45">
        <v>45679</v>
      </c>
      <c r="BL13" s="83">
        <v>0.79166666666666796</v>
      </c>
      <c r="BM13" s="39" t="s">
        <v>143</v>
      </c>
      <c r="BN13" s="41"/>
      <c r="BO13" s="39"/>
      <c r="BP13" s="38"/>
      <c r="BQ13" s="41"/>
      <c r="BR13" s="83"/>
      <c r="BS13" s="41" t="s">
        <v>143</v>
      </c>
      <c r="BT13" s="41"/>
      <c r="BU13" s="41"/>
      <c r="BV13" s="41"/>
      <c r="BW13" s="41"/>
      <c r="BX13" s="83"/>
      <c r="BY13" s="38"/>
      <c r="BZ13" s="47"/>
      <c r="CA13" s="86"/>
      <c r="CB13" s="86"/>
      <c r="CC13" s="47"/>
      <c r="CD13" s="47"/>
      <c r="CE13" s="86"/>
      <c r="CF13" s="86"/>
      <c r="CG13" s="47"/>
      <c r="CH13" s="47"/>
      <c r="CI13" s="47"/>
      <c r="CJ13" s="47"/>
      <c r="CK13" s="47"/>
      <c r="CL13" s="38"/>
      <c r="CM13" s="38"/>
      <c r="CN13" s="38"/>
      <c r="CO13" s="59"/>
      <c r="CP13" s="38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  <c r="AKK13" s="47"/>
      <c r="AKL13" s="47"/>
      <c r="AKM13" s="47"/>
      <c r="AKN13" s="47"/>
      <c r="AKO13" s="47"/>
      <c r="AKP13" s="47"/>
      <c r="AKQ13" s="47"/>
      <c r="AKR13" s="47"/>
      <c r="AKS13" s="47"/>
      <c r="AKT13" s="47"/>
      <c r="AKU13" s="47"/>
      <c r="AKV13" s="47"/>
      <c r="AKW13" s="47"/>
      <c r="AKX13" s="47"/>
      <c r="AKY13" s="47"/>
      <c r="AKZ13" s="47"/>
      <c r="ALA13" s="47"/>
      <c r="ALB13" s="47"/>
      <c r="ALC13" s="47"/>
      <c r="ALD13" s="47"/>
      <c r="ALE13" s="47"/>
      <c r="ALF13" s="47"/>
      <c r="ALG13" s="47"/>
      <c r="ALH13" s="47"/>
      <c r="ALI13" s="47"/>
      <c r="ALJ13" s="47"/>
      <c r="ALK13" s="47"/>
      <c r="ALL13" s="47"/>
      <c r="ALM13" s="47"/>
      <c r="ALN13" s="47"/>
      <c r="ALO13" s="47"/>
      <c r="ALP13" s="47"/>
      <c r="ALQ13" s="47"/>
      <c r="ALR13" s="47"/>
      <c r="ALS13" s="47"/>
      <c r="ALT13" s="47"/>
      <c r="ALU13" s="47"/>
      <c r="ALV13" s="47"/>
      <c r="ALW13" s="47"/>
      <c r="ALX13" s="47"/>
      <c r="ALY13" s="47"/>
      <c r="ALZ13" s="47"/>
      <c r="AMA13" s="47"/>
      <c r="AMB13" s="47"/>
      <c r="AMC13" s="47"/>
      <c r="AMD13" s="47"/>
      <c r="AME13" s="47"/>
      <c r="AMF13" s="47"/>
      <c r="AMG13" s="47"/>
      <c r="AMH13" s="47"/>
      <c r="AMI13" s="47"/>
      <c r="AMJ13" s="47"/>
    </row>
    <row r="14" spans="1:1024" s="85" customFormat="1" ht="11.25" customHeight="1" x14ac:dyDescent="0.3">
      <c r="A14" s="38" t="s">
        <v>140</v>
      </c>
      <c r="B14" s="38" t="s">
        <v>108</v>
      </c>
      <c r="C14" s="57" t="s">
        <v>154</v>
      </c>
      <c r="D14" s="46"/>
      <c r="E14" s="46">
        <v>45680</v>
      </c>
      <c r="F14" s="46">
        <v>45680</v>
      </c>
      <c r="G14" s="38" t="s">
        <v>376</v>
      </c>
      <c r="H14" s="39" t="s">
        <v>141</v>
      </c>
      <c r="I14" s="39" t="s">
        <v>113</v>
      </c>
      <c r="J14" s="39" t="s">
        <v>113</v>
      </c>
      <c r="K14" s="57" t="s">
        <v>398</v>
      </c>
      <c r="L14" s="57" t="s">
        <v>399</v>
      </c>
      <c r="M14" s="38" t="s">
        <v>176</v>
      </c>
      <c r="N14" s="57" t="s">
        <v>229</v>
      </c>
      <c r="O14" s="89" t="s">
        <v>160</v>
      </c>
      <c r="P14" s="57" t="s">
        <v>426</v>
      </c>
      <c r="Q14" s="46">
        <v>31312</v>
      </c>
      <c r="R14" s="47"/>
      <c r="S14" s="47"/>
      <c r="T14" s="47"/>
      <c r="U14" s="47"/>
      <c r="V14" s="47" t="s">
        <v>365</v>
      </c>
      <c r="W14" s="46">
        <v>45680</v>
      </c>
      <c r="X14" s="83">
        <v>0.8125</v>
      </c>
      <c r="Y14" s="57" t="s">
        <v>457</v>
      </c>
      <c r="Z14" s="46">
        <v>45680</v>
      </c>
      <c r="AA14" s="47" t="s">
        <v>458</v>
      </c>
      <c r="AB14" s="47" t="s">
        <v>440</v>
      </c>
      <c r="AC14" s="45">
        <v>45681</v>
      </c>
      <c r="AD14" s="87" t="s">
        <v>441</v>
      </c>
      <c r="AE14" s="40" t="s">
        <v>465</v>
      </c>
      <c r="AF14" s="40" t="s">
        <v>128</v>
      </c>
      <c r="AG14" s="47" t="s">
        <v>125</v>
      </c>
      <c r="AH14" s="47" t="s">
        <v>126</v>
      </c>
      <c r="AI14" s="84" t="s">
        <v>123</v>
      </c>
      <c r="AJ14" s="47" t="s">
        <v>124</v>
      </c>
      <c r="AK14" s="58">
        <v>3</v>
      </c>
      <c r="AL14" s="79" t="s">
        <v>143</v>
      </c>
      <c r="AM14" s="86"/>
      <c r="AN14" s="86"/>
      <c r="AO14" s="38"/>
      <c r="AP14" s="47" t="s">
        <v>143</v>
      </c>
      <c r="AQ14" s="79" t="s">
        <v>143</v>
      </c>
      <c r="AR14" s="86"/>
      <c r="AS14" s="86"/>
      <c r="AT14" s="47"/>
      <c r="AU14" s="57" t="s">
        <v>143</v>
      </c>
      <c r="AV14" s="79" t="s">
        <v>143</v>
      </c>
      <c r="AW14" s="86"/>
      <c r="AX14" s="86"/>
      <c r="AY14" s="47"/>
      <c r="AZ14" s="47" t="s">
        <v>143</v>
      </c>
      <c r="BA14" s="38" t="s">
        <v>374</v>
      </c>
      <c r="BB14" s="38" t="s">
        <v>373</v>
      </c>
      <c r="BC14" s="39" t="s">
        <v>374</v>
      </c>
      <c r="BD14" s="41" t="s">
        <v>375</v>
      </c>
      <c r="BE14" s="41">
        <f t="shared" si="0"/>
        <v>45680</v>
      </c>
      <c r="BF14" s="83">
        <v>0.33333333333333331</v>
      </c>
      <c r="BG14" s="38" t="s">
        <v>374</v>
      </c>
      <c r="BH14" s="38" t="s">
        <v>372</v>
      </c>
      <c r="BI14" s="45" t="s">
        <v>374</v>
      </c>
      <c r="BJ14" s="45" t="s">
        <v>375</v>
      </c>
      <c r="BK14" s="45">
        <v>45679</v>
      </c>
      <c r="BL14" s="83">
        <v>0.83333333333333404</v>
      </c>
      <c r="BM14" s="39" t="s">
        <v>143</v>
      </c>
      <c r="BN14" s="41"/>
      <c r="BO14" s="39"/>
      <c r="BP14" s="38"/>
      <c r="BQ14" s="41"/>
      <c r="BR14" s="83"/>
      <c r="BS14" s="41" t="s">
        <v>143</v>
      </c>
      <c r="BT14" s="41"/>
      <c r="BU14" s="41"/>
      <c r="BV14" s="41"/>
      <c r="BW14" s="41"/>
      <c r="BX14" s="83"/>
      <c r="BY14" s="38"/>
      <c r="BZ14" s="47"/>
      <c r="CA14" s="86"/>
      <c r="CB14" s="86"/>
      <c r="CC14" s="47"/>
      <c r="CD14" s="47"/>
      <c r="CE14" s="86"/>
      <c r="CF14" s="86"/>
      <c r="CG14" s="47"/>
      <c r="CH14" s="47"/>
      <c r="CI14" s="47"/>
      <c r="CJ14" s="47"/>
      <c r="CK14" s="47"/>
      <c r="CL14" s="38"/>
      <c r="CM14" s="38"/>
      <c r="CN14" s="38"/>
      <c r="CO14" s="59"/>
      <c r="CP14" s="38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  <c r="HR14" s="47"/>
      <c r="HS14" s="47"/>
      <c r="HT14" s="47"/>
      <c r="HU14" s="47"/>
      <c r="HV14" s="47"/>
      <c r="HW14" s="47"/>
      <c r="HX14" s="47"/>
      <c r="HY14" s="47"/>
      <c r="HZ14" s="47"/>
      <c r="IA14" s="47"/>
      <c r="IB14" s="47"/>
      <c r="IC14" s="47"/>
      <c r="ID14" s="47"/>
      <c r="IE14" s="47"/>
      <c r="IF14" s="47"/>
      <c r="IG14" s="47"/>
      <c r="IH14" s="47"/>
      <c r="II14" s="47"/>
      <c r="IJ14" s="47"/>
      <c r="IK14" s="47"/>
      <c r="IL14" s="47"/>
      <c r="IM14" s="47"/>
      <c r="IN14" s="47"/>
      <c r="IO14" s="47"/>
      <c r="IP14" s="47"/>
      <c r="IQ14" s="47"/>
      <c r="IR14" s="47"/>
      <c r="IS14" s="47"/>
      <c r="IT14" s="47"/>
      <c r="IU14" s="47"/>
      <c r="IV14" s="47"/>
      <c r="IW14" s="47"/>
      <c r="IX14" s="47"/>
      <c r="IY14" s="47"/>
      <c r="IZ14" s="47"/>
      <c r="JA14" s="47"/>
      <c r="JB14" s="47"/>
      <c r="JC14" s="47"/>
      <c r="JD14" s="47"/>
      <c r="JE14" s="47"/>
      <c r="JF14" s="47"/>
      <c r="JG14" s="47"/>
      <c r="JH14" s="47"/>
      <c r="JI14" s="47"/>
      <c r="JJ14" s="47"/>
      <c r="JK14" s="47"/>
      <c r="JL14" s="47"/>
      <c r="JM14" s="47"/>
      <c r="JN14" s="47"/>
      <c r="JO14" s="47"/>
      <c r="JP14" s="47"/>
      <c r="JQ14" s="47"/>
      <c r="JR14" s="47"/>
      <c r="JS14" s="47"/>
      <c r="JT14" s="47"/>
      <c r="JU14" s="47"/>
      <c r="JV14" s="47"/>
      <c r="JW14" s="47"/>
      <c r="JX14" s="47"/>
      <c r="JY14" s="47"/>
      <c r="JZ14" s="47"/>
      <c r="KA14" s="47"/>
      <c r="KB14" s="47"/>
      <c r="KC14" s="47"/>
      <c r="KD14" s="47"/>
      <c r="KE14" s="47"/>
      <c r="KF14" s="47"/>
      <c r="KG14" s="47"/>
      <c r="KH14" s="47"/>
      <c r="KI14" s="47"/>
      <c r="KJ14" s="47"/>
      <c r="KK14" s="47"/>
      <c r="KL14" s="47"/>
      <c r="KM14" s="47"/>
      <c r="KN14" s="47"/>
      <c r="KO14" s="47"/>
      <c r="KP14" s="47"/>
      <c r="KQ14" s="47"/>
      <c r="KR14" s="47"/>
      <c r="KS14" s="47"/>
      <c r="KT14" s="47"/>
      <c r="KU14" s="47"/>
      <c r="KV14" s="47"/>
      <c r="KW14" s="47"/>
      <c r="KX14" s="47"/>
      <c r="KY14" s="47"/>
      <c r="KZ14" s="47"/>
      <c r="LA14" s="47"/>
      <c r="LB14" s="47"/>
      <c r="LC14" s="47"/>
      <c r="LD14" s="47"/>
      <c r="LE14" s="47"/>
      <c r="LF14" s="47"/>
      <c r="LG14" s="47"/>
      <c r="LH14" s="47"/>
      <c r="LI14" s="47"/>
      <c r="LJ14" s="47"/>
      <c r="LK14" s="47"/>
      <c r="LL14" s="47"/>
      <c r="LM14" s="47"/>
      <c r="LN14" s="47"/>
      <c r="LO14" s="47"/>
      <c r="LP14" s="47"/>
      <c r="LQ14" s="47"/>
      <c r="LR14" s="47"/>
      <c r="LS14" s="47"/>
      <c r="LT14" s="47"/>
      <c r="LU14" s="47"/>
      <c r="LV14" s="47"/>
      <c r="LW14" s="47"/>
      <c r="LX14" s="47"/>
      <c r="LY14" s="47"/>
      <c r="LZ14" s="47"/>
      <c r="MA14" s="47"/>
      <c r="MB14" s="47"/>
      <c r="MC14" s="47"/>
      <c r="MD14" s="47"/>
      <c r="ME14" s="47"/>
      <c r="MF14" s="47"/>
      <c r="MG14" s="47"/>
      <c r="MH14" s="47"/>
      <c r="MI14" s="47"/>
      <c r="MJ14" s="47"/>
      <c r="MK14" s="47"/>
      <c r="ML14" s="47"/>
      <c r="MM14" s="47"/>
      <c r="MN14" s="47"/>
      <c r="MO14" s="47"/>
      <c r="MP14" s="47"/>
      <c r="MQ14" s="47"/>
      <c r="MR14" s="47"/>
      <c r="MS14" s="47"/>
      <c r="MT14" s="47"/>
      <c r="MU14" s="47"/>
      <c r="MV14" s="47"/>
      <c r="MW14" s="47"/>
      <c r="MX14" s="47"/>
      <c r="MY14" s="47"/>
      <c r="MZ14" s="47"/>
      <c r="NA14" s="47"/>
      <c r="NB14" s="47"/>
      <c r="NC14" s="47"/>
      <c r="ND14" s="47"/>
      <c r="NE14" s="47"/>
      <c r="NF14" s="47"/>
      <c r="NG14" s="47"/>
      <c r="NH14" s="47"/>
      <c r="NI14" s="47"/>
      <c r="NJ14" s="47"/>
      <c r="NK14" s="47"/>
      <c r="NL14" s="47"/>
      <c r="NM14" s="47"/>
      <c r="NN14" s="47"/>
      <c r="NO14" s="47"/>
      <c r="NP14" s="47"/>
      <c r="NQ14" s="47"/>
      <c r="NR14" s="47"/>
      <c r="NS14" s="47"/>
      <c r="NT14" s="47"/>
      <c r="NU14" s="47"/>
      <c r="NV14" s="47"/>
      <c r="NW14" s="47"/>
      <c r="NX14" s="47"/>
      <c r="NY14" s="47"/>
      <c r="NZ14" s="47"/>
      <c r="OA14" s="47"/>
      <c r="OB14" s="47"/>
      <c r="OC14" s="47"/>
      <c r="OD14" s="47"/>
      <c r="OE14" s="47"/>
      <c r="OF14" s="47"/>
      <c r="OG14" s="47"/>
      <c r="OH14" s="47"/>
      <c r="OI14" s="47"/>
      <c r="OJ14" s="47"/>
      <c r="OK14" s="47"/>
      <c r="OL14" s="47"/>
      <c r="OM14" s="47"/>
      <c r="ON14" s="47"/>
      <c r="OO14" s="47"/>
      <c r="OP14" s="47"/>
      <c r="OQ14" s="47"/>
      <c r="OR14" s="47"/>
      <c r="OS14" s="47"/>
      <c r="OT14" s="47"/>
      <c r="OU14" s="47"/>
      <c r="OV14" s="47"/>
      <c r="OW14" s="47"/>
      <c r="OX14" s="47"/>
      <c r="OY14" s="47"/>
      <c r="OZ14" s="47"/>
      <c r="PA14" s="47"/>
      <c r="PB14" s="47"/>
      <c r="PC14" s="47"/>
      <c r="PD14" s="47"/>
      <c r="PE14" s="47"/>
      <c r="PF14" s="47"/>
      <c r="PG14" s="47"/>
      <c r="PH14" s="47"/>
      <c r="PI14" s="47"/>
      <c r="PJ14" s="47"/>
      <c r="PK14" s="47"/>
      <c r="PL14" s="47"/>
      <c r="PM14" s="47"/>
      <c r="PN14" s="47"/>
      <c r="PO14" s="47"/>
      <c r="PP14" s="47"/>
      <c r="PQ14" s="47"/>
      <c r="PR14" s="47"/>
      <c r="PS14" s="47"/>
      <c r="PT14" s="47"/>
      <c r="PU14" s="47"/>
      <c r="PV14" s="47"/>
      <c r="PW14" s="47"/>
      <c r="PX14" s="47"/>
      <c r="PY14" s="47"/>
      <c r="PZ14" s="47"/>
      <c r="QA14" s="47"/>
      <c r="QB14" s="47"/>
      <c r="QC14" s="47"/>
      <c r="QD14" s="47"/>
      <c r="QE14" s="47"/>
      <c r="QF14" s="47"/>
      <c r="QG14" s="47"/>
      <c r="QH14" s="47"/>
      <c r="QI14" s="47"/>
      <c r="QJ14" s="47"/>
      <c r="QK14" s="47"/>
      <c r="QL14" s="47"/>
      <c r="QM14" s="47"/>
      <c r="QN14" s="47"/>
      <c r="QO14" s="47"/>
      <c r="QP14" s="47"/>
      <c r="QQ14" s="47"/>
      <c r="QR14" s="47"/>
      <c r="QS14" s="47"/>
      <c r="QT14" s="47"/>
      <c r="QU14" s="47"/>
      <c r="QV14" s="47"/>
      <c r="QW14" s="47"/>
      <c r="QX14" s="47"/>
      <c r="QY14" s="47"/>
      <c r="QZ14" s="47"/>
      <c r="RA14" s="47"/>
      <c r="RB14" s="47"/>
      <c r="RC14" s="47"/>
      <c r="RD14" s="47"/>
      <c r="RE14" s="47"/>
      <c r="RF14" s="47"/>
      <c r="RG14" s="47"/>
      <c r="RH14" s="47"/>
      <c r="RI14" s="47"/>
      <c r="RJ14" s="47"/>
      <c r="RK14" s="47"/>
      <c r="RL14" s="47"/>
      <c r="RM14" s="47"/>
      <c r="RN14" s="47"/>
      <c r="RO14" s="47"/>
      <c r="RP14" s="47"/>
      <c r="RQ14" s="47"/>
      <c r="RR14" s="47"/>
      <c r="RS14" s="47"/>
      <c r="RT14" s="47"/>
      <c r="RU14" s="47"/>
      <c r="RV14" s="47"/>
      <c r="RW14" s="47"/>
      <c r="RX14" s="47"/>
      <c r="RY14" s="47"/>
      <c r="RZ14" s="47"/>
      <c r="SA14" s="47"/>
      <c r="SB14" s="47"/>
      <c r="SC14" s="47"/>
      <c r="SD14" s="47"/>
      <c r="SE14" s="47"/>
      <c r="SF14" s="47"/>
      <c r="SG14" s="47"/>
      <c r="SH14" s="47"/>
      <c r="SI14" s="47"/>
      <c r="SJ14" s="47"/>
      <c r="SK14" s="47"/>
      <c r="SL14" s="47"/>
      <c r="SM14" s="47"/>
      <c r="SN14" s="47"/>
      <c r="SO14" s="47"/>
      <c r="SP14" s="47"/>
      <c r="SQ14" s="47"/>
      <c r="SR14" s="47"/>
      <c r="SS14" s="47"/>
      <c r="ST14" s="47"/>
      <c r="SU14" s="47"/>
      <c r="SV14" s="47"/>
      <c r="SW14" s="47"/>
      <c r="SX14" s="47"/>
      <c r="SY14" s="47"/>
      <c r="SZ14" s="47"/>
      <c r="TA14" s="47"/>
      <c r="TB14" s="47"/>
      <c r="TC14" s="47"/>
      <c r="TD14" s="47"/>
      <c r="TE14" s="47"/>
      <c r="TF14" s="47"/>
      <c r="TG14" s="47"/>
      <c r="TH14" s="47"/>
      <c r="TI14" s="47"/>
      <c r="TJ14" s="47"/>
      <c r="TK14" s="47"/>
      <c r="TL14" s="47"/>
      <c r="TM14" s="47"/>
      <c r="TN14" s="47"/>
      <c r="TO14" s="47"/>
      <c r="TP14" s="47"/>
      <c r="TQ14" s="47"/>
      <c r="TR14" s="47"/>
      <c r="TS14" s="47"/>
      <c r="TT14" s="47"/>
      <c r="TU14" s="47"/>
      <c r="TV14" s="47"/>
      <c r="TW14" s="47"/>
      <c r="TX14" s="47"/>
      <c r="TY14" s="47"/>
      <c r="TZ14" s="47"/>
      <c r="UA14" s="47"/>
      <c r="UB14" s="47"/>
      <c r="UC14" s="47"/>
      <c r="UD14" s="47"/>
      <c r="UE14" s="47"/>
      <c r="UF14" s="47"/>
      <c r="UG14" s="47"/>
      <c r="UH14" s="47"/>
      <c r="UI14" s="47"/>
      <c r="UJ14" s="47"/>
      <c r="UK14" s="47"/>
      <c r="UL14" s="47"/>
      <c r="UM14" s="47"/>
      <c r="UN14" s="47"/>
      <c r="UO14" s="47"/>
      <c r="UP14" s="47"/>
      <c r="UQ14" s="47"/>
      <c r="UR14" s="47"/>
      <c r="US14" s="47"/>
      <c r="UT14" s="47"/>
      <c r="UU14" s="47"/>
      <c r="UV14" s="47"/>
      <c r="UW14" s="47"/>
      <c r="UX14" s="47"/>
      <c r="UY14" s="47"/>
      <c r="UZ14" s="47"/>
      <c r="VA14" s="47"/>
      <c r="VB14" s="47"/>
      <c r="VC14" s="47"/>
      <c r="VD14" s="47"/>
      <c r="VE14" s="47"/>
      <c r="VF14" s="47"/>
      <c r="VG14" s="47"/>
      <c r="VH14" s="47"/>
      <c r="VI14" s="47"/>
      <c r="VJ14" s="47"/>
      <c r="VK14" s="47"/>
      <c r="VL14" s="47"/>
      <c r="VM14" s="47"/>
      <c r="VN14" s="47"/>
      <c r="VO14" s="47"/>
      <c r="VP14" s="47"/>
      <c r="VQ14" s="47"/>
      <c r="VR14" s="47"/>
      <c r="VS14" s="47"/>
      <c r="VT14" s="47"/>
      <c r="VU14" s="47"/>
      <c r="VV14" s="47"/>
      <c r="VW14" s="47"/>
      <c r="VX14" s="47"/>
      <c r="VY14" s="47"/>
      <c r="VZ14" s="47"/>
      <c r="WA14" s="47"/>
      <c r="WB14" s="47"/>
      <c r="WC14" s="47"/>
      <c r="WD14" s="47"/>
      <c r="WE14" s="47"/>
      <c r="WF14" s="47"/>
      <c r="WG14" s="47"/>
      <c r="WH14" s="47"/>
      <c r="WI14" s="47"/>
      <c r="WJ14" s="47"/>
      <c r="WK14" s="47"/>
      <c r="WL14" s="47"/>
      <c r="WM14" s="47"/>
      <c r="WN14" s="47"/>
      <c r="WO14" s="47"/>
      <c r="WP14" s="47"/>
      <c r="WQ14" s="47"/>
      <c r="WR14" s="47"/>
      <c r="WS14" s="47"/>
      <c r="WT14" s="47"/>
      <c r="WU14" s="47"/>
      <c r="WV14" s="47"/>
      <c r="WW14" s="47"/>
      <c r="WX14" s="47"/>
      <c r="WY14" s="47"/>
      <c r="WZ14" s="47"/>
      <c r="XA14" s="47"/>
      <c r="XB14" s="47"/>
      <c r="XC14" s="47"/>
      <c r="XD14" s="47"/>
      <c r="XE14" s="47"/>
      <c r="XF14" s="47"/>
      <c r="XG14" s="47"/>
      <c r="XH14" s="47"/>
      <c r="XI14" s="47"/>
      <c r="XJ14" s="47"/>
      <c r="XK14" s="47"/>
      <c r="XL14" s="47"/>
      <c r="XM14" s="47"/>
      <c r="XN14" s="47"/>
      <c r="XO14" s="47"/>
      <c r="XP14" s="47"/>
      <c r="XQ14" s="47"/>
      <c r="XR14" s="47"/>
      <c r="XS14" s="47"/>
      <c r="XT14" s="47"/>
      <c r="XU14" s="47"/>
      <c r="XV14" s="47"/>
      <c r="XW14" s="47"/>
      <c r="XX14" s="47"/>
      <c r="XY14" s="47"/>
      <c r="XZ14" s="47"/>
      <c r="YA14" s="47"/>
      <c r="YB14" s="47"/>
      <c r="YC14" s="47"/>
      <c r="YD14" s="47"/>
      <c r="YE14" s="47"/>
      <c r="YF14" s="47"/>
      <c r="YG14" s="47"/>
      <c r="YH14" s="47"/>
      <c r="YI14" s="47"/>
      <c r="YJ14" s="47"/>
      <c r="YK14" s="47"/>
      <c r="YL14" s="47"/>
      <c r="YM14" s="47"/>
      <c r="YN14" s="47"/>
      <c r="YO14" s="47"/>
      <c r="YP14" s="47"/>
      <c r="YQ14" s="47"/>
      <c r="YR14" s="47"/>
      <c r="YS14" s="47"/>
      <c r="YT14" s="47"/>
      <c r="YU14" s="47"/>
      <c r="YV14" s="47"/>
      <c r="YW14" s="47"/>
      <c r="YX14" s="47"/>
      <c r="YY14" s="47"/>
      <c r="YZ14" s="47"/>
      <c r="ZA14" s="47"/>
      <c r="ZB14" s="47"/>
      <c r="ZC14" s="47"/>
      <c r="ZD14" s="47"/>
      <c r="ZE14" s="47"/>
      <c r="ZF14" s="47"/>
      <c r="ZG14" s="47"/>
      <c r="ZH14" s="47"/>
      <c r="ZI14" s="47"/>
      <c r="ZJ14" s="47"/>
      <c r="ZK14" s="47"/>
      <c r="ZL14" s="47"/>
      <c r="ZM14" s="47"/>
      <c r="ZN14" s="47"/>
      <c r="ZO14" s="47"/>
      <c r="ZP14" s="47"/>
      <c r="ZQ14" s="47"/>
      <c r="ZR14" s="47"/>
      <c r="ZS14" s="47"/>
      <c r="ZT14" s="47"/>
      <c r="ZU14" s="47"/>
      <c r="ZV14" s="47"/>
      <c r="ZW14" s="47"/>
      <c r="ZX14" s="47"/>
      <c r="ZY14" s="47"/>
      <c r="ZZ14" s="47"/>
      <c r="AAA14" s="47"/>
      <c r="AAB14" s="47"/>
      <c r="AAC14" s="47"/>
      <c r="AAD14" s="47"/>
      <c r="AAE14" s="47"/>
      <c r="AAF14" s="47"/>
      <c r="AAG14" s="47"/>
      <c r="AAH14" s="47"/>
      <c r="AAI14" s="47"/>
      <c r="AAJ14" s="47"/>
      <c r="AAK14" s="47"/>
      <c r="AAL14" s="47"/>
      <c r="AAM14" s="47"/>
      <c r="AAN14" s="47"/>
      <c r="AAO14" s="47"/>
      <c r="AAP14" s="47"/>
      <c r="AAQ14" s="47"/>
      <c r="AAR14" s="47"/>
      <c r="AAS14" s="47"/>
      <c r="AAT14" s="47"/>
      <c r="AAU14" s="47"/>
      <c r="AAV14" s="47"/>
      <c r="AAW14" s="47"/>
      <c r="AAX14" s="47"/>
      <c r="AAY14" s="47"/>
      <c r="AAZ14" s="47"/>
      <c r="ABA14" s="47"/>
      <c r="ABB14" s="47"/>
      <c r="ABC14" s="47"/>
      <c r="ABD14" s="47"/>
      <c r="ABE14" s="47"/>
      <c r="ABF14" s="47"/>
      <c r="ABG14" s="47"/>
      <c r="ABH14" s="47"/>
      <c r="ABI14" s="47"/>
      <c r="ABJ14" s="47"/>
      <c r="ABK14" s="47"/>
      <c r="ABL14" s="47"/>
      <c r="ABM14" s="47"/>
      <c r="ABN14" s="47"/>
      <c r="ABO14" s="47"/>
      <c r="ABP14" s="47"/>
      <c r="ABQ14" s="47"/>
      <c r="ABR14" s="47"/>
      <c r="ABS14" s="47"/>
      <c r="ABT14" s="47"/>
      <c r="ABU14" s="47"/>
      <c r="ABV14" s="47"/>
      <c r="ABW14" s="47"/>
      <c r="ABX14" s="47"/>
      <c r="ABY14" s="47"/>
      <c r="ABZ14" s="47"/>
      <c r="ACA14" s="47"/>
      <c r="ACB14" s="47"/>
      <c r="ACC14" s="47"/>
      <c r="ACD14" s="47"/>
      <c r="ACE14" s="47"/>
      <c r="ACF14" s="47"/>
      <c r="ACG14" s="47"/>
      <c r="ACH14" s="47"/>
      <c r="ACI14" s="47"/>
      <c r="ACJ14" s="47"/>
      <c r="ACK14" s="47"/>
      <c r="ACL14" s="47"/>
      <c r="ACM14" s="47"/>
      <c r="ACN14" s="47"/>
      <c r="ACO14" s="47"/>
      <c r="ACP14" s="47"/>
      <c r="ACQ14" s="47"/>
      <c r="ACR14" s="47"/>
      <c r="ACS14" s="47"/>
      <c r="ACT14" s="47"/>
      <c r="ACU14" s="47"/>
      <c r="ACV14" s="47"/>
      <c r="ACW14" s="47"/>
      <c r="ACX14" s="47"/>
      <c r="ACY14" s="47"/>
      <c r="ACZ14" s="47"/>
      <c r="ADA14" s="47"/>
      <c r="ADB14" s="47"/>
      <c r="ADC14" s="47"/>
      <c r="ADD14" s="47"/>
      <c r="ADE14" s="47"/>
      <c r="ADF14" s="47"/>
      <c r="ADG14" s="47"/>
      <c r="ADH14" s="47"/>
      <c r="ADI14" s="47"/>
      <c r="ADJ14" s="47"/>
      <c r="ADK14" s="47"/>
      <c r="ADL14" s="47"/>
      <c r="ADM14" s="47"/>
      <c r="ADN14" s="47"/>
      <c r="ADO14" s="47"/>
      <c r="ADP14" s="47"/>
      <c r="ADQ14" s="47"/>
      <c r="ADR14" s="47"/>
      <c r="ADS14" s="47"/>
      <c r="ADT14" s="47"/>
      <c r="ADU14" s="47"/>
      <c r="ADV14" s="47"/>
      <c r="ADW14" s="47"/>
      <c r="ADX14" s="47"/>
      <c r="ADY14" s="47"/>
      <c r="ADZ14" s="47"/>
      <c r="AEA14" s="47"/>
      <c r="AEB14" s="47"/>
      <c r="AEC14" s="47"/>
      <c r="AED14" s="47"/>
      <c r="AEE14" s="47"/>
      <c r="AEF14" s="47"/>
      <c r="AEG14" s="47"/>
      <c r="AEH14" s="47"/>
      <c r="AEI14" s="47"/>
      <c r="AEJ14" s="47"/>
      <c r="AEK14" s="47"/>
      <c r="AEL14" s="47"/>
      <c r="AEM14" s="47"/>
      <c r="AEN14" s="47"/>
      <c r="AEO14" s="47"/>
      <c r="AEP14" s="47"/>
      <c r="AEQ14" s="47"/>
      <c r="AER14" s="47"/>
      <c r="AES14" s="47"/>
      <c r="AET14" s="47"/>
      <c r="AEU14" s="47"/>
      <c r="AEV14" s="47"/>
      <c r="AEW14" s="47"/>
      <c r="AEX14" s="47"/>
      <c r="AEY14" s="47"/>
      <c r="AEZ14" s="47"/>
      <c r="AFA14" s="47"/>
      <c r="AFB14" s="47"/>
      <c r="AFC14" s="47"/>
      <c r="AFD14" s="47"/>
      <c r="AFE14" s="47"/>
      <c r="AFF14" s="47"/>
      <c r="AFG14" s="47"/>
      <c r="AFH14" s="47"/>
      <c r="AFI14" s="47"/>
      <c r="AFJ14" s="47"/>
      <c r="AFK14" s="47"/>
      <c r="AFL14" s="47"/>
      <c r="AFM14" s="47"/>
      <c r="AFN14" s="47"/>
      <c r="AFO14" s="47"/>
      <c r="AFP14" s="47"/>
      <c r="AFQ14" s="47"/>
      <c r="AFR14" s="47"/>
      <c r="AFS14" s="47"/>
      <c r="AFT14" s="47"/>
      <c r="AFU14" s="47"/>
      <c r="AFV14" s="47"/>
      <c r="AFW14" s="47"/>
      <c r="AFX14" s="47"/>
      <c r="AFY14" s="47"/>
      <c r="AFZ14" s="47"/>
      <c r="AGA14" s="47"/>
      <c r="AGB14" s="47"/>
      <c r="AGC14" s="47"/>
      <c r="AGD14" s="47"/>
      <c r="AGE14" s="47"/>
      <c r="AGF14" s="47"/>
      <c r="AGG14" s="47"/>
      <c r="AGH14" s="47"/>
      <c r="AGI14" s="47"/>
      <c r="AGJ14" s="47"/>
      <c r="AGK14" s="47"/>
      <c r="AGL14" s="47"/>
      <c r="AGM14" s="47"/>
      <c r="AGN14" s="47"/>
      <c r="AGO14" s="47"/>
      <c r="AGP14" s="47"/>
      <c r="AGQ14" s="47"/>
      <c r="AGR14" s="47"/>
      <c r="AGS14" s="47"/>
      <c r="AGT14" s="47"/>
      <c r="AGU14" s="47"/>
      <c r="AGV14" s="47"/>
      <c r="AGW14" s="47"/>
      <c r="AGX14" s="47"/>
      <c r="AGY14" s="47"/>
      <c r="AGZ14" s="47"/>
      <c r="AHA14" s="47"/>
      <c r="AHB14" s="47"/>
      <c r="AHC14" s="47"/>
      <c r="AHD14" s="47"/>
      <c r="AHE14" s="47"/>
      <c r="AHF14" s="47"/>
      <c r="AHG14" s="47"/>
      <c r="AHH14" s="47"/>
      <c r="AHI14" s="47"/>
      <c r="AHJ14" s="47"/>
      <c r="AHK14" s="47"/>
      <c r="AHL14" s="47"/>
      <c r="AHM14" s="47"/>
      <c r="AHN14" s="47"/>
      <c r="AHO14" s="47"/>
      <c r="AHP14" s="47"/>
      <c r="AHQ14" s="47"/>
      <c r="AHR14" s="47"/>
      <c r="AHS14" s="47"/>
      <c r="AHT14" s="47"/>
      <c r="AHU14" s="47"/>
      <c r="AHV14" s="47"/>
      <c r="AHW14" s="47"/>
      <c r="AHX14" s="47"/>
      <c r="AHY14" s="47"/>
      <c r="AHZ14" s="47"/>
      <c r="AIA14" s="47"/>
      <c r="AIB14" s="47"/>
      <c r="AIC14" s="47"/>
      <c r="AID14" s="47"/>
      <c r="AIE14" s="47"/>
      <c r="AIF14" s="47"/>
      <c r="AIG14" s="47"/>
      <c r="AIH14" s="47"/>
      <c r="AII14" s="47"/>
      <c r="AIJ14" s="47"/>
      <c r="AIK14" s="47"/>
      <c r="AIL14" s="47"/>
      <c r="AIM14" s="47"/>
      <c r="AIN14" s="47"/>
      <c r="AIO14" s="47"/>
      <c r="AIP14" s="47"/>
      <c r="AIQ14" s="47"/>
      <c r="AIR14" s="47"/>
      <c r="AIS14" s="47"/>
      <c r="AIT14" s="47"/>
      <c r="AIU14" s="47"/>
      <c r="AIV14" s="47"/>
      <c r="AIW14" s="47"/>
      <c r="AIX14" s="47"/>
      <c r="AIY14" s="47"/>
      <c r="AIZ14" s="47"/>
      <c r="AJA14" s="47"/>
      <c r="AJB14" s="47"/>
      <c r="AJC14" s="47"/>
      <c r="AJD14" s="47"/>
      <c r="AJE14" s="47"/>
      <c r="AJF14" s="47"/>
      <c r="AJG14" s="47"/>
      <c r="AJH14" s="47"/>
      <c r="AJI14" s="47"/>
      <c r="AJJ14" s="47"/>
      <c r="AJK14" s="47"/>
      <c r="AJL14" s="47"/>
      <c r="AJM14" s="47"/>
      <c r="AJN14" s="47"/>
      <c r="AJO14" s="47"/>
      <c r="AJP14" s="47"/>
      <c r="AJQ14" s="47"/>
      <c r="AJR14" s="47"/>
      <c r="AJS14" s="47"/>
      <c r="AJT14" s="47"/>
      <c r="AJU14" s="47"/>
      <c r="AJV14" s="47"/>
      <c r="AJW14" s="47"/>
      <c r="AJX14" s="47"/>
      <c r="AJY14" s="47"/>
      <c r="AJZ14" s="47"/>
      <c r="AKA14" s="47"/>
      <c r="AKB14" s="47"/>
      <c r="AKC14" s="47"/>
      <c r="AKD14" s="47"/>
      <c r="AKE14" s="47"/>
      <c r="AKF14" s="47"/>
      <c r="AKG14" s="47"/>
      <c r="AKH14" s="47"/>
      <c r="AKI14" s="47"/>
      <c r="AKJ14" s="47"/>
      <c r="AKK14" s="47"/>
      <c r="AKL14" s="47"/>
      <c r="AKM14" s="47"/>
      <c r="AKN14" s="47"/>
      <c r="AKO14" s="47"/>
      <c r="AKP14" s="47"/>
      <c r="AKQ14" s="47"/>
      <c r="AKR14" s="47"/>
      <c r="AKS14" s="47"/>
      <c r="AKT14" s="47"/>
      <c r="AKU14" s="47"/>
      <c r="AKV14" s="47"/>
      <c r="AKW14" s="47"/>
      <c r="AKX14" s="47"/>
      <c r="AKY14" s="47"/>
      <c r="AKZ14" s="47"/>
      <c r="ALA14" s="47"/>
      <c r="ALB14" s="47"/>
      <c r="ALC14" s="47"/>
      <c r="ALD14" s="47"/>
      <c r="ALE14" s="47"/>
      <c r="ALF14" s="47"/>
      <c r="ALG14" s="47"/>
      <c r="ALH14" s="47"/>
      <c r="ALI14" s="47"/>
      <c r="ALJ14" s="47"/>
      <c r="ALK14" s="47"/>
      <c r="ALL14" s="47"/>
      <c r="ALM14" s="47"/>
      <c r="ALN14" s="47"/>
      <c r="ALO14" s="47"/>
      <c r="ALP14" s="47"/>
      <c r="ALQ14" s="47"/>
      <c r="ALR14" s="47"/>
      <c r="ALS14" s="47"/>
      <c r="ALT14" s="47"/>
      <c r="ALU14" s="47"/>
      <c r="ALV14" s="47"/>
      <c r="ALW14" s="47"/>
      <c r="ALX14" s="47"/>
      <c r="ALY14" s="47"/>
      <c r="ALZ14" s="47"/>
      <c r="AMA14" s="47"/>
      <c r="AMB14" s="47"/>
      <c r="AMC14" s="47"/>
      <c r="AMD14" s="47"/>
      <c r="AME14" s="47"/>
      <c r="AMF14" s="47"/>
      <c r="AMG14" s="47"/>
      <c r="AMH14" s="47"/>
      <c r="AMI14" s="47"/>
      <c r="AMJ14" s="47"/>
    </row>
    <row r="15" spans="1:1024" s="85" customFormat="1" ht="11.25" customHeight="1" x14ac:dyDescent="0.3">
      <c r="A15" s="38" t="s">
        <v>140</v>
      </c>
      <c r="B15" s="38" t="s">
        <v>108</v>
      </c>
      <c r="C15" s="57" t="s">
        <v>154</v>
      </c>
      <c r="D15" s="46"/>
      <c r="E15" s="46">
        <v>45680</v>
      </c>
      <c r="F15" s="46">
        <v>45680</v>
      </c>
      <c r="G15" s="38" t="s">
        <v>376</v>
      </c>
      <c r="H15" s="39" t="s">
        <v>141</v>
      </c>
      <c r="I15" s="39" t="s">
        <v>113</v>
      </c>
      <c r="J15" s="39" t="s">
        <v>113</v>
      </c>
      <c r="K15" s="57" t="s">
        <v>400</v>
      </c>
      <c r="L15" s="57" t="s">
        <v>401</v>
      </c>
      <c r="M15" s="38" t="s">
        <v>176</v>
      </c>
      <c r="N15" s="57" t="s">
        <v>142</v>
      </c>
      <c r="O15" s="89" t="s">
        <v>241</v>
      </c>
      <c r="P15" s="57" t="s">
        <v>427</v>
      </c>
      <c r="Q15" s="46">
        <v>28476</v>
      </c>
      <c r="R15" s="47"/>
      <c r="S15" s="47"/>
      <c r="T15" s="47"/>
      <c r="U15" s="47"/>
      <c r="V15" s="47" t="s">
        <v>365</v>
      </c>
      <c r="W15" s="46">
        <v>45680</v>
      </c>
      <c r="X15" s="83">
        <v>0.8125</v>
      </c>
      <c r="Y15" s="57" t="s">
        <v>457</v>
      </c>
      <c r="Z15" s="46">
        <v>45680</v>
      </c>
      <c r="AA15" s="47" t="s">
        <v>458</v>
      </c>
      <c r="AB15" s="47" t="s">
        <v>438</v>
      </c>
      <c r="AC15" s="45">
        <v>45681</v>
      </c>
      <c r="AD15" s="87" t="s">
        <v>439</v>
      </c>
      <c r="AE15" s="40" t="s">
        <v>465</v>
      </c>
      <c r="AF15" s="40" t="s">
        <v>128</v>
      </c>
      <c r="AG15" s="47" t="s">
        <v>125</v>
      </c>
      <c r="AH15" s="47" t="s">
        <v>126</v>
      </c>
      <c r="AI15" s="84" t="s">
        <v>123</v>
      </c>
      <c r="AJ15" s="47" t="s">
        <v>124</v>
      </c>
      <c r="AK15" s="58">
        <v>2</v>
      </c>
      <c r="AL15" s="79" t="s">
        <v>143</v>
      </c>
      <c r="AM15" s="86"/>
      <c r="AN15" s="86"/>
      <c r="AO15" s="38"/>
      <c r="AP15" s="47" t="s">
        <v>143</v>
      </c>
      <c r="AQ15" s="79" t="s">
        <v>143</v>
      </c>
      <c r="AR15" s="86"/>
      <c r="AS15" s="86"/>
      <c r="AT15" s="47"/>
      <c r="AU15" s="57" t="s">
        <v>143</v>
      </c>
      <c r="AV15" s="79" t="s">
        <v>143</v>
      </c>
      <c r="AW15" s="86"/>
      <c r="AX15" s="86"/>
      <c r="AY15" s="47"/>
      <c r="AZ15" s="47" t="s">
        <v>143</v>
      </c>
      <c r="BA15" s="38" t="s">
        <v>374</v>
      </c>
      <c r="BB15" s="38" t="s">
        <v>373</v>
      </c>
      <c r="BC15" s="39" t="s">
        <v>374</v>
      </c>
      <c r="BD15" s="41" t="s">
        <v>375</v>
      </c>
      <c r="BE15" s="41">
        <f t="shared" si="0"/>
        <v>45680</v>
      </c>
      <c r="BF15" s="83">
        <v>0.375</v>
      </c>
      <c r="BG15" s="38" t="s">
        <v>374</v>
      </c>
      <c r="BH15" s="38" t="s">
        <v>372</v>
      </c>
      <c r="BI15" s="45" t="s">
        <v>374</v>
      </c>
      <c r="BJ15" s="45" t="s">
        <v>375</v>
      </c>
      <c r="BK15" s="45">
        <v>45679</v>
      </c>
      <c r="BL15" s="83">
        <v>0.875</v>
      </c>
      <c r="BM15" s="39" t="s">
        <v>143</v>
      </c>
      <c r="BN15" s="41"/>
      <c r="BO15" s="39"/>
      <c r="BP15" s="38"/>
      <c r="BQ15" s="41"/>
      <c r="BR15" s="83"/>
      <c r="BS15" s="41" t="s">
        <v>143</v>
      </c>
      <c r="BT15" s="41"/>
      <c r="BU15" s="41"/>
      <c r="BV15" s="41"/>
      <c r="BW15" s="41"/>
      <c r="BX15" s="83"/>
      <c r="BY15" s="38"/>
      <c r="BZ15" s="47"/>
      <c r="CA15" s="86"/>
      <c r="CB15" s="86"/>
      <c r="CC15" s="47"/>
      <c r="CD15" s="47"/>
      <c r="CE15" s="86"/>
      <c r="CF15" s="86"/>
      <c r="CG15" s="47"/>
      <c r="CH15" s="47"/>
      <c r="CI15" s="47"/>
      <c r="CJ15" s="47"/>
      <c r="CK15" s="47"/>
      <c r="CL15" s="38"/>
      <c r="CM15" s="38"/>
      <c r="CN15" s="38"/>
      <c r="CO15" s="59"/>
      <c r="CP15" s="38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  <c r="HS15" s="47"/>
      <c r="HT15" s="47"/>
      <c r="HU15" s="47"/>
      <c r="HV15" s="47"/>
      <c r="HW15" s="47"/>
      <c r="HX15" s="47"/>
      <c r="HY15" s="47"/>
      <c r="HZ15" s="47"/>
      <c r="IA15" s="47"/>
      <c r="IB15" s="47"/>
      <c r="IC15" s="47"/>
      <c r="ID15" s="47"/>
      <c r="IE15" s="47"/>
      <c r="IF15" s="47"/>
      <c r="IG15" s="47"/>
      <c r="IH15" s="47"/>
      <c r="II15" s="47"/>
      <c r="IJ15" s="47"/>
      <c r="IK15" s="47"/>
      <c r="IL15" s="47"/>
      <c r="IM15" s="47"/>
      <c r="IN15" s="47"/>
      <c r="IO15" s="47"/>
      <c r="IP15" s="47"/>
      <c r="IQ15" s="47"/>
      <c r="IR15" s="47"/>
      <c r="IS15" s="47"/>
      <c r="IT15" s="47"/>
      <c r="IU15" s="47"/>
      <c r="IV15" s="47"/>
      <c r="IW15" s="47"/>
      <c r="IX15" s="47"/>
      <c r="IY15" s="47"/>
      <c r="IZ15" s="47"/>
      <c r="JA15" s="47"/>
      <c r="JB15" s="47"/>
      <c r="JC15" s="47"/>
      <c r="JD15" s="47"/>
      <c r="JE15" s="47"/>
      <c r="JF15" s="47"/>
      <c r="JG15" s="47"/>
      <c r="JH15" s="47"/>
      <c r="JI15" s="47"/>
      <c r="JJ15" s="47"/>
      <c r="JK15" s="47"/>
      <c r="JL15" s="47"/>
      <c r="JM15" s="47"/>
      <c r="JN15" s="47"/>
      <c r="JO15" s="47"/>
      <c r="JP15" s="47"/>
      <c r="JQ15" s="47"/>
      <c r="JR15" s="47"/>
      <c r="JS15" s="47"/>
      <c r="JT15" s="47"/>
      <c r="JU15" s="47"/>
      <c r="JV15" s="47"/>
      <c r="JW15" s="47"/>
      <c r="JX15" s="47"/>
      <c r="JY15" s="47"/>
      <c r="JZ15" s="47"/>
      <c r="KA15" s="47"/>
      <c r="KB15" s="47"/>
      <c r="KC15" s="47"/>
      <c r="KD15" s="47"/>
      <c r="KE15" s="47"/>
      <c r="KF15" s="47"/>
      <c r="KG15" s="47"/>
      <c r="KH15" s="47"/>
      <c r="KI15" s="47"/>
      <c r="KJ15" s="47"/>
      <c r="KK15" s="47"/>
      <c r="KL15" s="47"/>
      <c r="KM15" s="47"/>
      <c r="KN15" s="47"/>
      <c r="KO15" s="47"/>
      <c r="KP15" s="47"/>
      <c r="KQ15" s="47"/>
      <c r="KR15" s="47"/>
      <c r="KS15" s="47"/>
      <c r="KT15" s="47"/>
      <c r="KU15" s="47"/>
      <c r="KV15" s="47"/>
      <c r="KW15" s="47"/>
      <c r="KX15" s="47"/>
      <c r="KY15" s="47"/>
      <c r="KZ15" s="47"/>
      <c r="LA15" s="47"/>
      <c r="LB15" s="47"/>
      <c r="LC15" s="47"/>
      <c r="LD15" s="47"/>
      <c r="LE15" s="47"/>
      <c r="LF15" s="47"/>
      <c r="LG15" s="47"/>
      <c r="LH15" s="47"/>
      <c r="LI15" s="47"/>
      <c r="LJ15" s="47"/>
      <c r="LK15" s="47"/>
      <c r="LL15" s="47"/>
      <c r="LM15" s="47"/>
      <c r="LN15" s="47"/>
      <c r="LO15" s="47"/>
      <c r="LP15" s="47"/>
      <c r="LQ15" s="47"/>
      <c r="LR15" s="47"/>
      <c r="LS15" s="47"/>
      <c r="LT15" s="47"/>
      <c r="LU15" s="47"/>
      <c r="LV15" s="47"/>
      <c r="LW15" s="47"/>
      <c r="LX15" s="47"/>
      <c r="LY15" s="47"/>
      <c r="LZ15" s="47"/>
      <c r="MA15" s="47"/>
      <c r="MB15" s="47"/>
      <c r="MC15" s="47"/>
      <c r="MD15" s="47"/>
      <c r="ME15" s="47"/>
      <c r="MF15" s="47"/>
      <c r="MG15" s="47"/>
      <c r="MH15" s="47"/>
      <c r="MI15" s="47"/>
      <c r="MJ15" s="47"/>
      <c r="MK15" s="47"/>
      <c r="ML15" s="47"/>
      <c r="MM15" s="47"/>
      <c r="MN15" s="47"/>
      <c r="MO15" s="47"/>
      <c r="MP15" s="47"/>
      <c r="MQ15" s="47"/>
      <c r="MR15" s="47"/>
      <c r="MS15" s="47"/>
      <c r="MT15" s="47"/>
      <c r="MU15" s="47"/>
      <c r="MV15" s="47"/>
      <c r="MW15" s="47"/>
      <c r="MX15" s="47"/>
      <c r="MY15" s="47"/>
      <c r="MZ15" s="47"/>
      <c r="NA15" s="47"/>
      <c r="NB15" s="47"/>
      <c r="NC15" s="47"/>
      <c r="ND15" s="47"/>
      <c r="NE15" s="47"/>
      <c r="NF15" s="47"/>
      <c r="NG15" s="47"/>
      <c r="NH15" s="47"/>
      <c r="NI15" s="47"/>
      <c r="NJ15" s="47"/>
      <c r="NK15" s="47"/>
      <c r="NL15" s="47"/>
      <c r="NM15" s="47"/>
      <c r="NN15" s="47"/>
      <c r="NO15" s="47"/>
      <c r="NP15" s="47"/>
      <c r="NQ15" s="47"/>
      <c r="NR15" s="47"/>
      <c r="NS15" s="47"/>
      <c r="NT15" s="47"/>
      <c r="NU15" s="47"/>
      <c r="NV15" s="47"/>
      <c r="NW15" s="47"/>
      <c r="NX15" s="47"/>
      <c r="NY15" s="47"/>
      <c r="NZ15" s="47"/>
      <c r="OA15" s="47"/>
      <c r="OB15" s="47"/>
      <c r="OC15" s="47"/>
      <c r="OD15" s="47"/>
      <c r="OE15" s="47"/>
      <c r="OF15" s="47"/>
      <c r="OG15" s="47"/>
      <c r="OH15" s="47"/>
      <c r="OI15" s="47"/>
      <c r="OJ15" s="47"/>
      <c r="OK15" s="47"/>
      <c r="OL15" s="47"/>
      <c r="OM15" s="47"/>
      <c r="ON15" s="47"/>
      <c r="OO15" s="47"/>
      <c r="OP15" s="47"/>
      <c r="OQ15" s="47"/>
      <c r="OR15" s="47"/>
      <c r="OS15" s="47"/>
      <c r="OT15" s="47"/>
      <c r="OU15" s="47"/>
      <c r="OV15" s="47"/>
      <c r="OW15" s="47"/>
      <c r="OX15" s="47"/>
      <c r="OY15" s="47"/>
      <c r="OZ15" s="47"/>
      <c r="PA15" s="47"/>
      <c r="PB15" s="47"/>
      <c r="PC15" s="47"/>
      <c r="PD15" s="47"/>
      <c r="PE15" s="47"/>
      <c r="PF15" s="47"/>
      <c r="PG15" s="47"/>
      <c r="PH15" s="47"/>
      <c r="PI15" s="47"/>
      <c r="PJ15" s="47"/>
      <c r="PK15" s="47"/>
      <c r="PL15" s="47"/>
      <c r="PM15" s="47"/>
      <c r="PN15" s="47"/>
      <c r="PO15" s="47"/>
      <c r="PP15" s="47"/>
      <c r="PQ15" s="47"/>
      <c r="PR15" s="47"/>
      <c r="PS15" s="47"/>
      <c r="PT15" s="47"/>
      <c r="PU15" s="47"/>
      <c r="PV15" s="47"/>
      <c r="PW15" s="47"/>
      <c r="PX15" s="47"/>
      <c r="PY15" s="47"/>
      <c r="PZ15" s="47"/>
      <c r="QA15" s="47"/>
      <c r="QB15" s="47"/>
      <c r="QC15" s="47"/>
      <c r="QD15" s="47"/>
      <c r="QE15" s="47"/>
      <c r="QF15" s="47"/>
      <c r="QG15" s="47"/>
      <c r="QH15" s="47"/>
      <c r="QI15" s="47"/>
      <c r="QJ15" s="47"/>
      <c r="QK15" s="47"/>
      <c r="QL15" s="47"/>
      <c r="QM15" s="47"/>
      <c r="QN15" s="47"/>
      <c r="QO15" s="47"/>
      <c r="QP15" s="47"/>
      <c r="QQ15" s="47"/>
      <c r="QR15" s="47"/>
      <c r="QS15" s="47"/>
      <c r="QT15" s="47"/>
      <c r="QU15" s="47"/>
      <c r="QV15" s="47"/>
      <c r="QW15" s="47"/>
      <c r="QX15" s="47"/>
      <c r="QY15" s="47"/>
      <c r="QZ15" s="47"/>
      <c r="RA15" s="47"/>
      <c r="RB15" s="47"/>
      <c r="RC15" s="47"/>
      <c r="RD15" s="47"/>
      <c r="RE15" s="47"/>
      <c r="RF15" s="47"/>
      <c r="RG15" s="47"/>
      <c r="RH15" s="47"/>
      <c r="RI15" s="47"/>
      <c r="RJ15" s="47"/>
      <c r="RK15" s="47"/>
      <c r="RL15" s="47"/>
      <c r="RM15" s="47"/>
      <c r="RN15" s="47"/>
      <c r="RO15" s="47"/>
      <c r="RP15" s="47"/>
      <c r="RQ15" s="47"/>
      <c r="RR15" s="47"/>
      <c r="RS15" s="47"/>
      <c r="RT15" s="47"/>
      <c r="RU15" s="47"/>
      <c r="RV15" s="47"/>
      <c r="RW15" s="47"/>
      <c r="RX15" s="47"/>
      <c r="RY15" s="47"/>
      <c r="RZ15" s="47"/>
      <c r="SA15" s="47"/>
      <c r="SB15" s="47"/>
      <c r="SC15" s="47"/>
      <c r="SD15" s="47"/>
      <c r="SE15" s="47"/>
      <c r="SF15" s="47"/>
      <c r="SG15" s="47"/>
      <c r="SH15" s="47"/>
      <c r="SI15" s="47"/>
      <c r="SJ15" s="47"/>
      <c r="SK15" s="47"/>
      <c r="SL15" s="47"/>
      <c r="SM15" s="47"/>
      <c r="SN15" s="47"/>
      <c r="SO15" s="47"/>
      <c r="SP15" s="47"/>
      <c r="SQ15" s="47"/>
      <c r="SR15" s="47"/>
      <c r="SS15" s="47"/>
      <c r="ST15" s="47"/>
      <c r="SU15" s="47"/>
      <c r="SV15" s="47"/>
      <c r="SW15" s="47"/>
      <c r="SX15" s="47"/>
      <c r="SY15" s="47"/>
      <c r="SZ15" s="47"/>
      <c r="TA15" s="47"/>
      <c r="TB15" s="47"/>
      <c r="TC15" s="47"/>
      <c r="TD15" s="47"/>
      <c r="TE15" s="47"/>
      <c r="TF15" s="47"/>
      <c r="TG15" s="47"/>
      <c r="TH15" s="47"/>
      <c r="TI15" s="47"/>
      <c r="TJ15" s="47"/>
      <c r="TK15" s="47"/>
      <c r="TL15" s="47"/>
      <c r="TM15" s="47"/>
      <c r="TN15" s="47"/>
      <c r="TO15" s="47"/>
      <c r="TP15" s="47"/>
      <c r="TQ15" s="47"/>
      <c r="TR15" s="47"/>
      <c r="TS15" s="47"/>
      <c r="TT15" s="47"/>
      <c r="TU15" s="47"/>
      <c r="TV15" s="47"/>
      <c r="TW15" s="47"/>
      <c r="TX15" s="47"/>
      <c r="TY15" s="47"/>
      <c r="TZ15" s="47"/>
      <c r="UA15" s="47"/>
      <c r="UB15" s="47"/>
      <c r="UC15" s="47"/>
      <c r="UD15" s="47"/>
      <c r="UE15" s="47"/>
      <c r="UF15" s="47"/>
      <c r="UG15" s="47"/>
      <c r="UH15" s="47"/>
      <c r="UI15" s="47"/>
      <c r="UJ15" s="47"/>
      <c r="UK15" s="47"/>
      <c r="UL15" s="47"/>
      <c r="UM15" s="47"/>
      <c r="UN15" s="47"/>
      <c r="UO15" s="47"/>
      <c r="UP15" s="47"/>
      <c r="UQ15" s="47"/>
      <c r="UR15" s="47"/>
      <c r="US15" s="47"/>
      <c r="UT15" s="47"/>
      <c r="UU15" s="47"/>
      <c r="UV15" s="47"/>
      <c r="UW15" s="47"/>
      <c r="UX15" s="47"/>
      <c r="UY15" s="47"/>
      <c r="UZ15" s="47"/>
      <c r="VA15" s="47"/>
      <c r="VB15" s="47"/>
      <c r="VC15" s="47"/>
      <c r="VD15" s="47"/>
      <c r="VE15" s="47"/>
      <c r="VF15" s="47"/>
      <c r="VG15" s="47"/>
      <c r="VH15" s="47"/>
      <c r="VI15" s="47"/>
      <c r="VJ15" s="47"/>
      <c r="VK15" s="47"/>
      <c r="VL15" s="47"/>
      <c r="VM15" s="47"/>
      <c r="VN15" s="47"/>
      <c r="VO15" s="47"/>
      <c r="VP15" s="47"/>
      <c r="VQ15" s="47"/>
      <c r="VR15" s="47"/>
      <c r="VS15" s="47"/>
      <c r="VT15" s="47"/>
      <c r="VU15" s="47"/>
      <c r="VV15" s="47"/>
      <c r="VW15" s="47"/>
      <c r="VX15" s="47"/>
      <c r="VY15" s="47"/>
      <c r="VZ15" s="47"/>
      <c r="WA15" s="47"/>
      <c r="WB15" s="47"/>
      <c r="WC15" s="47"/>
      <c r="WD15" s="47"/>
      <c r="WE15" s="47"/>
      <c r="WF15" s="47"/>
      <c r="WG15" s="47"/>
      <c r="WH15" s="47"/>
      <c r="WI15" s="47"/>
      <c r="WJ15" s="47"/>
      <c r="WK15" s="47"/>
      <c r="WL15" s="47"/>
      <c r="WM15" s="47"/>
      <c r="WN15" s="47"/>
      <c r="WO15" s="47"/>
      <c r="WP15" s="47"/>
      <c r="WQ15" s="47"/>
      <c r="WR15" s="47"/>
      <c r="WS15" s="47"/>
      <c r="WT15" s="47"/>
      <c r="WU15" s="47"/>
      <c r="WV15" s="47"/>
      <c r="WW15" s="47"/>
      <c r="WX15" s="47"/>
      <c r="WY15" s="47"/>
      <c r="WZ15" s="47"/>
      <c r="XA15" s="47"/>
      <c r="XB15" s="47"/>
      <c r="XC15" s="47"/>
      <c r="XD15" s="47"/>
      <c r="XE15" s="47"/>
      <c r="XF15" s="47"/>
      <c r="XG15" s="47"/>
      <c r="XH15" s="47"/>
      <c r="XI15" s="47"/>
      <c r="XJ15" s="47"/>
      <c r="XK15" s="47"/>
      <c r="XL15" s="47"/>
      <c r="XM15" s="47"/>
      <c r="XN15" s="47"/>
      <c r="XO15" s="47"/>
      <c r="XP15" s="47"/>
      <c r="XQ15" s="47"/>
      <c r="XR15" s="47"/>
      <c r="XS15" s="47"/>
      <c r="XT15" s="47"/>
      <c r="XU15" s="47"/>
      <c r="XV15" s="47"/>
      <c r="XW15" s="47"/>
      <c r="XX15" s="47"/>
      <c r="XY15" s="47"/>
      <c r="XZ15" s="47"/>
      <c r="YA15" s="47"/>
      <c r="YB15" s="47"/>
      <c r="YC15" s="47"/>
      <c r="YD15" s="47"/>
      <c r="YE15" s="47"/>
      <c r="YF15" s="47"/>
      <c r="YG15" s="47"/>
      <c r="YH15" s="47"/>
      <c r="YI15" s="47"/>
      <c r="YJ15" s="47"/>
      <c r="YK15" s="47"/>
      <c r="YL15" s="47"/>
      <c r="YM15" s="47"/>
      <c r="YN15" s="47"/>
      <c r="YO15" s="47"/>
      <c r="YP15" s="47"/>
      <c r="YQ15" s="47"/>
      <c r="YR15" s="47"/>
      <c r="YS15" s="47"/>
      <c r="YT15" s="47"/>
      <c r="YU15" s="47"/>
      <c r="YV15" s="47"/>
      <c r="YW15" s="47"/>
      <c r="YX15" s="47"/>
      <c r="YY15" s="47"/>
      <c r="YZ15" s="47"/>
      <c r="ZA15" s="47"/>
      <c r="ZB15" s="47"/>
      <c r="ZC15" s="47"/>
      <c r="ZD15" s="47"/>
      <c r="ZE15" s="47"/>
      <c r="ZF15" s="47"/>
      <c r="ZG15" s="47"/>
      <c r="ZH15" s="47"/>
      <c r="ZI15" s="47"/>
      <c r="ZJ15" s="47"/>
      <c r="ZK15" s="47"/>
      <c r="ZL15" s="47"/>
      <c r="ZM15" s="47"/>
      <c r="ZN15" s="47"/>
      <c r="ZO15" s="47"/>
      <c r="ZP15" s="47"/>
      <c r="ZQ15" s="47"/>
      <c r="ZR15" s="47"/>
      <c r="ZS15" s="47"/>
      <c r="ZT15" s="47"/>
      <c r="ZU15" s="47"/>
      <c r="ZV15" s="47"/>
      <c r="ZW15" s="47"/>
      <c r="ZX15" s="47"/>
      <c r="ZY15" s="47"/>
      <c r="ZZ15" s="47"/>
      <c r="AAA15" s="47"/>
      <c r="AAB15" s="47"/>
      <c r="AAC15" s="47"/>
      <c r="AAD15" s="47"/>
      <c r="AAE15" s="47"/>
      <c r="AAF15" s="47"/>
      <c r="AAG15" s="47"/>
      <c r="AAH15" s="47"/>
      <c r="AAI15" s="47"/>
      <c r="AAJ15" s="47"/>
      <c r="AAK15" s="47"/>
      <c r="AAL15" s="47"/>
      <c r="AAM15" s="47"/>
      <c r="AAN15" s="47"/>
      <c r="AAO15" s="47"/>
      <c r="AAP15" s="47"/>
      <c r="AAQ15" s="47"/>
      <c r="AAR15" s="47"/>
      <c r="AAS15" s="47"/>
      <c r="AAT15" s="47"/>
      <c r="AAU15" s="47"/>
      <c r="AAV15" s="47"/>
      <c r="AAW15" s="47"/>
      <c r="AAX15" s="47"/>
      <c r="AAY15" s="47"/>
      <c r="AAZ15" s="47"/>
      <c r="ABA15" s="47"/>
      <c r="ABB15" s="47"/>
      <c r="ABC15" s="47"/>
      <c r="ABD15" s="47"/>
      <c r="ABE15" s="47"/>
      <c r="ABF15" s="47"/>
      <c r="ABG15" s="47"/>
      <c r="ABH15" s="47"/>
      <c r="ABI15" s="47"/>
      <c r="ABJ15" s="47"/>
      <c r="ABK15" s="47"/>
      <c r="ABL15" s="47"/>
      <c r="ABM15" s="47"/>
      <c r="ABN15" s="47"/>
      <c r="ABO15" s="47"/>
      <c r="ABP15" s="47"/>
      <c r="ABQ15" s="47"/>
      <c r="ABR15" s="47"/>
      <c r="ABS15" s="47"/>
      <c r="ABT15" s="47"/>
      <c r="ABU15" s="47"/>
      <c r="ABV15" s="47"/>
      <c r="ABW15" s="47"/>
      <c r="ABX15" s="47"/>
      <c r="ABY15" s="47"/>
      <c r="ABZ15" s="47"/>
      <c r="ACA15" s="47"/>
      <c r="ACB15" s="47"/>
      <c r="ACC15" s="47"/>
      <c r="ACD15" s="47"/>
      <c r="ACE15" s="47"/>
      <c r="ACF15" s="47"/>
      <c r="ACG15" s="47"/>
      <c r="ACH15" s="47"/>
      <c r="ACI15" s="47"/>
      <c r="ACJ15" s="47"/>
      <c r="ACK15" s="47"/>
      <c r="ACL15" s="47"/>
      <c r="ACM15" s="47"/>
      <c r="ACN15" s="47"/>
      <c r="ACO15" s="47"/>
      <c r="ACP15" s="47"/>
      <c r="ACQ15" s="47"/>
      <c r="ACR15" s="47"/>
      <c r="ACS15" s="47"/>
      <c r="ACT15" s="47"/>
      <c r="ACU15" s="47"/>
      <c r="ACV15" s="47"/>
      <c r="ACW15" s="47"/>
      <c r="ACX15" s="47"/>
      <c r="ACY15" s="47"/>
      <c r="ACZ15" s="47"/>
      <c r="ADA15" s="47"/>
      <c r="ADB15" s="47"/>
      <c r="ADC15" s="47"/>
      <c r="ADD15" s="47"/>
      <c r="ADE15" s="47"/>
      <c r="ADF15" s="47"/>
      <c r="ADG15" s="47"/>
      <c r="ADH15" s="47"/>
      <c r="ADI15" s="47"/>
      <c r="ADJ15" s="47"/>
      <c r="ADK15" s="47"/>
      <c r="ADL15" s="47"/>
      <c r="ADM15" s="47"/>
      <c r="ADN15" s="47"/>
      <c r="ADO15" s="47"/>
      <c r="ADP15" s="47"/>
      <c r="ADQ15" s="47"/>
      <c r="ADR15" s="47"/>
      <c r="ADS15" s="47"/>
      <c r="ADT15" s="47"/>
      <c r="ADU15" s="47"/>
      <c r="ADV15" s="47"/>
      <c r="ADW15" s="47"/>
      <c r="ADX15" s="47"/>
      <c r="ADY15" s="47"/>
      <c r="ADZ15" s="47"/>
      <c r="AEA15" s="47"/>
      <c r="AEB15" s="47"/>
      <c r="AEC15" s="47"/>
      <c r="AED15" s="47"/>
      <c r="AEE15" s="47"/>
      <c r="AEF15" s="47"/>
      <c r="AEG15" s="47"/>
      <c r="AEH15" s="47"/>
      <c r="AEI15" s="47"/>
      <c r="AEJ15" s="47"/>
      <c r="AEK15" s="47"/>
      <c r="AEL15" s="47"/>
      <c r="AEM15" s="47"/>
      <c r="AEN15" s="47"/>
      <c r="AEO15" s="47"/>
      <c r="AEP15" s="47"/>
      <c r="AEQ15" s="47"/>
      <c r="AER15" s="47"/>
      <c r="AES15" s="47"/>
      <c r="AET15" s="47"/>
      <c r="AEU15" s="47"/>
      <c r="AEV15" s="47"/>
      <c r="AEW15" s="47"/>
      <c r="AEX15" s="47"/>
      <c r="AEY15" s="47"/>
      <c r="AEZ15" s="47"/>
      <c r="AFA15" s="47"/>
      <c r="AFB15" s="47"/>
      <c r="AFC15" s="47"/>
      <c r="AFD15" s="47"/>
      <c r="AFE15" s="47"/>
      <c r="AFF15" s="47"/>
      <c r="AFG15" s="47"/>
      <c r="AFH15" s="47"/>
      <c r="AFI15" s="47"/>
      <c r="AFJ15" s="47"/>
      <c r="AFK15" s="47"/>
      <c r="AFL15" s="47"/>
      <c r="AFM15" s="47"/>
      <c r="AFN15" s="47"/>
      <c r="AFO15" s="47"/>
      <c r="AFP15" s="47"/>
      <c r="AFQ15" s="47"/>
      <c r="AFR15" s="47"/>
      <c r="AFS15" s="47"/>
      <c r="AFT15" s="47"/>
      <c r="AFU15" s="47"/>
      <c r="AFV15" s="47"/>
      <c r="AFW15" s="47"/>
      <c r="AFX15" s="47"/>
      <c r="AFY15" s="47"/>
      <c r="AFZ15" s="47"/>
      <c r="AGA15" s="47"/>
      <c r="AGB15" s="47"/>
      <c r="AGC15" s="47"/>
      <c r="AGD15" s="47"/>
      <c r="AGE15" s="47"/>
      <c r="AGF15" s="47"/>
      <c r="AGG15" s="47"/>
      <c r="AGH15" s="47"/>
      <c r="AGI15" s="47"/>
      <c r="AGJ15" s="47"/>
      <c r="AGK15" s="47"/>
      <c r="AGL15" s="47"/>
      <c r="AGM15" s="47"/>
      <c r="AGN15" s="47"/>
      <c r="AGO15" s="47"/>
      <c r="AGP15" s="47"/>
      <c r="AGQ15" s="47"/>
      <c r="AGR15" s="47"/>
      <c r="AGS15" s="47"/>
      <c r="AGT15" s="47"/>
      <c r="AGU15" s="47"/>
      <c r="AGV15" s="47"/>
      <c r="AGW15" s="47"/>
      <c r="AGX15" s="47"/>
      <c r="AGY15" s="47"/>
      <c r="AGZ15" s="47"/>
      <c r="AHA15" s="47"/>
      <c r="AHB15" s="47"/>
      <c r="AHC15" s="47"/>
      <c r="AHD15" s="47"/>
      <c r="AHE15" s="47"/>
      <c r="AHF15" s="47"/>
      <c r="AHG15" s="47"/>
      <c r="AHH15" s="47"/>
      <c r="AHI15" s="47"/>
      <c r="AHJ15" s="47"/>
      <c r="AHK15" s="47"/>
      <c r="AHL15" s="47"/>
      <c r="AHM15" s="47"/>
      <c r="AHN15" s="47"/>
      <c r="AHO15" s="47"/>
      <c r="AHP15" s="47"/>
      <c r="AHQ15" s="47"/>
      <c r="AHR15" s="47"/>
      <c r="AHS15" s="47"/>
      <c r="AHT15" s="47"/>
      <c r="AHU15" s="47"/>
      <c r="AHV15" s="47"/>
      <c r="AHW15" s="47"/>
      <c r="AHX15" s="47"/>
      <c r="AHY15" s="47"/>
      <c r="AHZ15" s="47"/>
      <c r="AIA15" s="47"/>
      <c r="AIB15" s="47"/>
      <c r="AIC15" s="47"/>
      <c r="AID15" s="47"/>
      <c r="AIE15" s="47"/>
      <c r="AIF15" s="47"/>
      <c r="AIG15" s="47"/>
      <c r="AIH15" s="47"/>
      <c r="AII15" s="47"/>
      <c r="AIJ15" s="47"/>
      <c r="AIK15" s="47"/>
      <c r="AIL15" s="47"/>
      <c r="AIM15" s="47"/>
      <c r="AIN15" s="47"/>
      <c r="AIO15" s="47"/>
      <c r="AIP15" s="47"/>
      <c r="AIQ15" s="47"/>
      <c r="AIR15" s="47"/>
      <c r="AIS15" s="47"/>
      <c r="AIT15" s="47"/>
      <c r="AIU15" s="47"/>
      <c r="AIV15" s="47"/>
      <c r="AIW15" s="47"/>
      <c r="AIX15" s="47"/>
      <c r="AIY15" s="47"/>
      <c r="AIZ15" s="47"/>
      <c r="AJA15" s="47"/>
      <c r="AJB15" s="47"/>
      <c r="AJC15" s="47"/>
      <c r="AJD15" s="47"/>
      <c r="AJE15" s="47"/>
      <c r="AJF15" s="47"/>
      <c r="AJG15" s="47"/>
      <c r="AJH15" s="47"/>
      <c r="AJI15" s="47"/>
      <c r="AJJ15" s="47"/>
      <c r="AJK15" s="47"/>
      <c r="AJL15" s="47"/>
      <c r="AJM15" s="47"/>
      <c r="AJN15" s="47"/>
      <c r="AJO15" s="47"/>
      <c r="AJP15" s="47"/>
      <c r="AJQ15" s="47"/>
      <c r="AJR15" s="47"/>
      <c r="AJS15" s="47"/>
      <c r="AJT15" s="47"/>
      <c r="AJU15" s="47"/>
      <c r="AJV15" s="47"/>
      <c r="AJW15" s="47"/>
      <c r="AJX15" s="47"/>
      <c r="AJY15" s="47"/>
      <c r="AJZ15" s="47"/>
      <c r="AKA15" s="47"/>
      <c r="AKB15" s="47"/>
      <c r="AKC15" s="47"/>
      <c r="AKD15" s="47"/>
      <c r="AKE15" s="47"/>
      <c r="AKF15" s="47"/>
      <c r="AKG15" s="47"/>
      <c r="AKH15" s="47"/>
      <c r="AKI15" s="47"/>
      <c r="AKJ15" s="47"/>
      <c r="AKK15" s="47"/>
      <c r="AKL15" s="47"/>
      <c r="AKM15" s="47"/>
      <c r="AKN15" s="47"/>
      <c r="AKO15" s="47"/>
      <c r="AKP15" s="47"/>
      <c r="AKQ15" s="47"/>
      <c r="AKR15" s="47"/>
      <c r="AKS15" s="47"/>
      <c r="AKT15" s="47"/>
      <c r="AKU15" s="47"/>
      <c r="AKV15" s="47"/>
      <c r="AKW15" s="47"/>
      <c r="AKX15" s="47"/>
      <c r="AKY15" s="47"/>
      <c r="AKZ15" s="47"/>
      <c r="ALA15" s="47"/>
      <c r="ALB15" s="47"/>
      <c r="ALC15" s="47"/>
      <c r="ALD15" s="47"/>
      <c r="ALE15" s="47"/>
      <c r="ALF15" s="47"/>
      <c r="ALG15" s="47"/>
      <c r="ALH15" s="47"/>
      <c r="ALI15" s="47"/>
      <c r="ALJ15" s="47"/>
      <c r="ALK15" s="47"/>
      <c r="ALL15" s="47"/>
      <c r="ALM15" s="47"/>
      <c r="ALN15" s="47"/>
      <c r="ALO15" s="47"/>
      <c r="ALP15" s="47"/>
      <c r="ALQ15" s="47"/>
      <c r="ALR15" s="47"/>
      <c r="ALS15" s="47"/>
      <c r="ALT15" s="47"/>
      <c r="ALU15" s="47"/>
      <c r="ALV15" s="47"/>
      <c r="ALW15" s="47"/>
      <c r="ALX15" s="47"/>
      <c r="ALY15" s="47"/>
      <c r="ALZ15" s="47"/>
      <c r="AMA15" s="47"/>
      <c r="AMB15" s="47"/>
      <c r="AMC15" s="47"/>
      <c r="AMD15" s="47"/>
      <c r="AME15" s="47"/>
      <c r="AMF15" s="47"/>
      <c r="AMG15" s="47"/>
      <c r="AMH15" s="47"/>
      <c r="AMI15" s="47"/>
      <c r="AMJ15" s="47"/>
    </row>
    <row r="16" spans="1:1024" s="85" customFormat="1" ht="11.25" customHeight="1" x14ac:dyDescent="0.3">
      <c r="A16" s="38" t="s">
        <v>140</v>
      </c>
      <c r="B16" s="38" t="s">
        <v>108</v>
      </c>
      <c r="C16" s="57" t="s">
        <v>154</v>
      </c>
      <c r="D16" s="46"/>
      <c r="E16" s="46">
        <v>45680</v>
      </c>
      <c r="F16" s="46">
        <v>45680</v>
      </c>
      <c r="G16" s="38" t="s">
        <v>376</v>
      </c>
      <c r="H16" s="39" t="s">
        <v>141</v>
      </c>
      <c r="I16" s="39" t="s">
        <v>113</v>
      </c>
      <c r="J16" s="39" t="s">
        <v>113</v>
      </c>
      <c r="K16" s="57" t="s">
        <v>402</v>
      </c>
      <c r="L16" s="57" t="s">
        <v>403</v>
      </c>
      <c r="M16" s="38" t="s">
        <v>176</v>
      </c>
      <c r="N16" s="57" t="s">
        <v>142</v>
      </c>
      <c r="O16" s="89" t="s">
        <v>250</v>
      </c>
      <c r="P16" s="57" t="s">
        <v>428</v>
      </c>
      <c r="Q16" s="46">
        <v>28636</v>
      </c>
      <c r="R16" s="47"/>
      <c r="S16" s="47"/>
      <c r="T16" s="47"/>
      <c r="U16" s="47"/>
      <c r="V16" s="47" t="s">
        <v>365</v>
      </c>
      <c r="W16" s="46">
        <v>45680</v>
      </c>
      <c r="X16" s="83">
        <v>0.8125</v>
      </c>
      <c r="Y16" s="57" t="s">
        <v>459</v>
      </c>
      <c r="Z16" s="46">
        <v>45681</v>
      </c>
      <c r="AA16" s="47" t="s">
        <v>460</v>
      </c>
      <c r="AB16" s="47" t="s">
        <v>443</v>
      </c>
      <c r="AC16" s="45">
        <v>45681</v>
      </c>
      <c r="AD16" s="87" t="s">
        <v>450</v>
      </c>
      <c r="AE16" s="40" t="s">
        <v>465</v>
      </c>
      <c r="AF16" s="40" t="s">
        <v>128</v>
      </c>
      <c r="AG16" s="47" t="s">
        <v>125</v>
      </c>
      <c r="AH16" s="47" t="s">
        <v>126</v>
      </c>
      <c r="AI16" s="84" t="s">
        <v>123</v>
      </c>
      <c r="AJ16" s="47" t="s">
        <v>124</v>
      </c>
      <c r="AK16" s="58">
        <v>3</v>
      </c>
      <c r="AL16" s="79" t="s">
        <v>143</v>
      </c>
      <c r="AM16" s="86"/>
      <c r="AN16" s="86"/>
      <c r="AO16" s="38"/>
      <c r="AP16" s="47" t="s">
        <v>143</v>
      </c>
      <c r="AQ16" s="79" t="s">
        <v>143</v>
      </c>
      <c r="AR16" s="86"/>
      <c r="AS16" s="86"/>
      <c r="AT16" s="47"/>
      <c r="AU16" s="57" t="s">
        <v>143</v>
      </c>
      <c r="AV16" s="79" t="s">
        <v>143</v>
      </c>
      <c r="AW16" s="86"/>
      <c r="AX16" s="86"/>
      <c r="AY16" s="47"/>
      <c r="AZ16" s="47" t="s">
        <v>143</v>
      </c>
      <c r="BA16" s="38" t="s">
        <v>374</v>
      </c>
      <c r="BB16" s="38" t="s">
        <v>373</v>
      </c>
      <c r="BC16" s="39" t="s">
        <v>374</v>
      </c>
      <c r="BD16" s="41" t="s">
        <v>375</v>
      </c>
      <c r="BE16" s="41">
        <f t="shared" si="0"/>
        <v>45680</v>
      </c>
      <c r="BF16" s="83">
        <v>0.41666666666666669</v>
      </c>
      <c r="BG16" s="38" t="s">
        <v>374</v>
      </c>
      <c r="BH16" s="38" t="s">
        <v>372</v>
      </c>
      <c r="BI16" s="45" t="s">
        <v>374</v>
      </c>
      <c r="BJ16" s="45" t="s">
        <v>375</v>
      </c>
      <c r="BK16" s="45">
        <v>45679</v>
      </c>
      <c r="BL16" s="83">
        <v>0.91666666666666796</v>
      </c>
      <c r="BM16" s="39" t="s">
        <v>143</v>
      </c>
      <c r="BN16" s="41"/>
      <c r="BO16" s="39"/>
      <c r="BP16" s="38"/>
      <c r="BQ16" s="41"/>
      <c r="BR16" s="83"/>
      <c r="BS16" s="41" t="s">
        <v>143</v>
      </c>
      <c r="BT16" s="41"/>
      <c r="BU16" s="41"/>
      <c r="BV16" s="41"/>
      <c r="BW16" s="41"/>
      <c r="BX16" s="83"/>
      <c r="BY16" s="38"/>
      <c r="BZ16" s="47"/>
      <c r="CA16" s="86"/>
      <c r="CB16" s="86"/>
      <c r="CC16" s="47"/>
      <c r="CD16" s="47"/>
      <c r="CE16" s="86"/>
      <c r="CF16" s="86"/>
      <c r="CG16" s="47"/>
      <c r="CH16" s="47"/>
      <c r="CI16" s="47"/>
      <c r="CJ16" s="47"/>
      <c r="CK16" s="47"/>
      <c r="CL16" s="38"/>
      <c r="CM16" s="38"/>
      <c r="CN16" s="38"/>
      <c r="CO16" s="59"/>
      <c r="CP16" s="38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  <c r="GS16" s="47"/>
      <c r="GT16" s="47"/>
      <c r="GU16" s="47"/>
      <c r="GV16" s="47"/>
      <c r="GW16" s="47"/>
      <c r="GX16" s="47"/>
      <c r="GY16" s="47"/>
      <c r="GZ16" s="47"/>
      <c r="HA16" s="47"/>
      <c r="HB16" s="47"/>
      <c r="HC16" s="47"/>
      <c r="HD16" s="47"/>
      <c r="HE16" s="47"/>
      <c r="HF16" s="47"/>
      <c r="HG16" s="47"/>
      <c r="HH16" s="47"/>
      <c r="HI16" s="47"/>
      <c r="HJ16" s="47"/>
      <c r="HK16" s="47"/>
      <c r="HL16" s="47"/>
      <c r="HM16" s="47"/>
      <c r="HN16" s="47"/>
      <c r="HO16" s="47"/>
      <c r="HP16" s="47"/>
      <c r="HQ16" s="47"/>
      <c r="HR16" s="47"/>
      <c r="HS16" s="47"/>
      <c r="HT16" s="47"/>
      <c r="HU16" s="47"/>
      <c r="HV16" s="47"/>
      <c r="HW16" s="47"/>
      <c r="HX16" s="47"/>
      <c r="HY16" s="47"/>
      <c r="HZ16" s="47"/>
      <c r="IA16" s="47"/>
      <c r="IB16" s="47"/>
      <c r="IC16" s="47"/>
      <c r="ID16" s="47"/>
      <c r="IE16" s="47"/>
      <c r="IF16" s="47"/>
      <c r="IG16" s="47"/>
      <c r="IH16" s="47"/>
      <c r="II16" s="47"/>
      <c r="IJ16" s="47"/>
      <c r="IK16" s="47"/>
      <c r="IL16" s="47"/>
      <c r="IM16" s="47"/>
      <c r="IN16" s="47"/>
      <c r="IO16" s="47"/>
      <c r="IP16" s="47"/>
      <c r="IQ16" s="47"/>
      <c r="IR16" s="47"/>
      <c r="IS16" s="47"/>
      <c r="IT16" s="47"/>
      <c r="IU16" s="47"/>
      <c r="IV16" s="47"/>
      <c r="IW16" s="47"/>
      <c r="IX16" s="47"/>
      <c r="IY16" s="47"/>
      <c r="IZ16" s="47"/>
      <c r="JA16" s="47"/>
      <c r="JB16" s="47"/>
      <c r="JC16" s="47"/>
      <c r="JD16" s="47"/>
      <c r="JE16" s="47"/>
      <c r="JF16" s="47"/>
      <c r="JG16" s="47"/>
      <c r="JH16" s="47"/>
      <c r="JI16" s="47"/>
      <c r="JJ16" s="47"/>
      <c r="JK16" s="47"/>
      <c r="JL16" s="47"/>
      <c r="JM16" s="47"/>
      <c r="JN16" s="47"/>
      <c r="JO16" s="47"/>
      <c r="JP16" s="47"/>
      <c r="JQ16" s="47"/>
      <c r="JR16" s="47"/>
      <c r="JS16" s="47"/>
      <c r="JT16" s="47"/>
      <c r="JU16" s="47"/>
      <c r="JV16" s="47"/>
      <c r="JW16" s="47"/>
      <c r="JX16" s="47"/>
      <c r="JY16" s="47"/>
      <c r="JZ16" s="47"/>
      <c r="KA16" s="47"/>
      <c r="KB16" s="47"/>
      <c r="KC16" s="47"/>
      <c r="KD16" s="47"/>
      <c r="KE16" s="47"/>
      <c r="KF16" s="47"/>
      <c r="KG16" s="47"/>
      <c r="KH16" s="47"/>
      <c r="KI16" s="47"/>
      <c r="KJ16" s="47"/>
      <c r="KK16" s="47"/>
      <c r="KL16" s="47"/>
      <c r="KM16" s="47"/>
      <c r="KN16" s="47"/>
      <c r="KO16" s="47"/>
      <c r="KP16" s="47"/>
      <c r="KQ16" s="47"/>
      <c r="KR16" s="47"/>
      <c r="KS16" s="47"/>
      <c r="KT16" s="47"/>
      <c r="KU16" s="47"/>
      <c r="KV16" s="47"/>
      <c r="KW16" s="47"/>
      <c r="KX16" s="47"/>
      <c r="KY16" s="47"/>
      <c r="KZ16" s="47"/>
      <c r="LA16" s="47"/>
      <c r="LB16" s="47"/>
      <c r="LC16" s="47"/>
      <c r="LD16" s="47"/>
      <c r="LE16" s="47"/>
      <c r="LF16" s="47"/>
      <c r="LG16" s="47"/>
      <c r="LH16" s="47"/>
      <c r="LI16" s="47"/>
      <c r="LJ16" s="47"/>
      <c r="LK16" s="47"/>
      <c r="LL16" s="47"/>
      <c r="LM16" s="47"/>
      <c r="LN16" s="47"/>
      <c r="LO16" s="47"/>
      <c r="LP16" s="47"/>
      <c r="LQ16" s="47"/>
      <c r="LR16" s="47"/>
      <c r="LS16" s="47"/>
      <c r="LT16" s="47"/>
      <c r="LU16" s="47"/>
      <c r="LV16" s="47"/>
      <c r="LW16" s="47"/>
      <c r="LX16" s="47"/>
      <c r="LY16" s="47"/>
      <c r="LZ16" s="47"/>
      <c r="MA16" s="47"/>
      <c r="MB16" s="47"/>
      <c r="MC16" s="47"/>
      <c r="MD16" s="47"/>
      <c r="ME16" s="47"/>
      <c r="MF16" s="47"/>
      <c r="MG16" s="47"/>
      <c r="MH16" s="47"/>
      <c r="MI16" s="47"/>
      <c r="MJ16" s="47"/>
      <c r="MK16" s="47"/>
      <c r="ML16" s="47"/>
      <c r="MM16" s="47"/>
      <c r="MN16" s="47"/>
      <c r="MO16" s="47"/>
      <c r="MP16" s="47"/>
      <c r="MQ16" s="47"/>
      <c r="MR16" s="47"/>
      <c r="MS16" s="47"/>
      <c r="MT16" s="47"/>
      <c r="MU16" s="47"/>
      <c r="MV16" s="47"/>
      <c r="MW16" s="47"/>
      <c r="MX16" s="47"/>
      <c r="MY16" s="47"/>
      <c r="MZ16" s="47"/>
      <c r="NA16" s="47"/>
      <c r="NB16" s="47"/>
      <c r="NC16" s="47"/>
      <c r="ND16" s="47"/>
      <c r="NE16" s="47"/>
      <c r="NF16" s="47"/>
      <c r="NG16" s="47"/>
      <c r="NH16" s="47"/>
      <c r="NI16" s="47"/>
      <c r="NJ16" s="47"/>
      <c r="NK16" s="47"/>
      <c r="NL16" s="47"/>
      <c r="NM16" s="47"/>
      <c r="NN16" s="47"/>
      <c r="NO16" s="47"/>
      <c r="NP16" s="47"/>
      <c r="NQ16" s="47"/>
      <c r="NR16" s="47"/>
      <c r="NS16" s="47"/>
      <c r="NT16" s="47"/>
      <c r="NU16" s="47"/>
      <c r="NV16" s="47"/>
      <c r="NW16" s="47"/>
      <c r="NX16" s="47"/>
      <c r="NY16" s="47"/>
      <c r="NZ16" s="47"/>
      <c r="OA16" s="47"/>
      <c r="OB16" s="47"/>
      <c r="OC16" s="47"/>
      <c r="OD16" s="47"/>
      <c r="OE16" s="47"/>
      <c r="OF16" s="47"/>
      <c r="OG16" s="47"/>
      <c r="OH16" s="47"/>
      <c r="OI16" s="47"/>
      <c r="OJ16" s="47"/>
      <c r="OK16" s="47"/>
      <c r="OL16" s="47"/>
      <c r="OM16" s="47"/>
      <c r="ON16" s="47"/>
      <c r="OO16" s="47"/>
      <c r="OP16" s="47"/>
      <c r="OQ16" s="47"/>
      <c r="OR16" s="47"/>
      <c r="OS16" s="47"/>
      <c r="OT16" s="47"/>
      <c r="OU16" s="47"/>
      <c r="OV16" s="47"/>
      <c r="OW16" s="47"/>
      <c r="OX16" s="47"/>
      <c r="OY16" s="47"/>
      <c r="OZ16" s="47"/>
      <c r="PA16" s="47"/>
      <c r="PB16" s="47"/>
      <c r="PC16" s="47"/>
      <c r="PD16" s="47"/>
      <c r="PE16" s="47"/>
      <c r="PF16" s="47"/>
      <c r="PG16" s="47"/>
      <c r="PH16" s="47"/>
      <c r="PI16" s="47"/>
      <c r="PJ16" s="47"/>
      <c r="PK16" s="47"/>
      <c r="PL16" s="47"/>
      <c r="PM16" s="47"/>
      <c r="PN16" s="47"/>
      <c r="PO16" s="47"/>
      <c r="PP16" s="47"/>
      <c r="PQ16" s="47"/>
      <c r="PR16" s="47"/>
      <c r="PS16" s="47"/>
      <c r="PT16" s="47"/>
      <c r="PU16" s="47"/>
      <c r="PV16" s="47"/>
      <c r="PW16" s="47"/>
      <c r="PX16" s="47"/>
      <c r="PY16" s="47"/>
      <c r="PZ16" s="47"/>
      <c r="QA16" s="47"/>
      <c r="QB16" s="47"/>
      <c r="QC16" s="47"/>
      <c r="QD16" s="47"/>
      <c r="QE16" s="47"/>
      <c r="QF16" s="47"/>
      <c r="QG16" s="47"/>
      <c r="QH16" s="47"/>
      <c r="QI16" s="47"/>
      <c r="QJ16" s="47"/>
      <c r="QK16" s="47"/>
      <c r="QL16" s="47"/>
      <c r="QM16" s="47"/>
      <c r="QN16" s="47"/>
      <c r="QO16" s="47"/>
      <c r="QP16" s="47"/>
      <c r="QQ16" s="47"/>
      <c r="QR16" s="47"/>
      <c r="QS16" s="47"/>
      <c r="QT16" s="47"/>
      <c r="QU16" s="47"/>
      <c r="QV16" s="47"/>
      <c r="QW16" s="47"/>
      <c r="QX16" s="47"/>
      <c r="QY16" s="47"/>
      <c r="QZ16" s="47"/>
      <c r="RA16" s="47"/>
      <c r="RB16" s="47"/>
      <c r="RC16" s="47"/>
      <c r="RD16" s="47"/>
      <c r="RE16" s="47"/>
      <c r="RF16" s="47"/>
      <c r="RG16" s="47"/>
      <c r="RH16" s="47"/>
      <c r="RI16" s="47"/>
      <c r="RJ16" s="47"/>
      <c r="RK16" s="47"/>
      <c r="RL16" s="47"/>
      <c r="RM16" s="47"/>
      <c r="RN16" s="47"/>
      <c r="RO16" s="47"/>
      <c r="RP16" s="47"/>
      <c r="RQ16" s="47"/>
      <c r="RR16" s="47"/>
      <c r="RS16" s="47"/>
      <c r="RT16" s="47"/>
      <c r="RU16" s="47"/>
      <c r="RV16" s="47"/>
      <c r="RW16" s="47"/>
      <c r="RX16" s="47"/>
      <c r="RY16" s="47"/>
      <c r="RZ16" s="47"/>
      <c r="SA16" s="47"/>
      <c r="SB16" s="47"/>
      <c r="SC16" s="47"/>
      <c r="SD16" s="47"/>
      <c r="SE16" s="47"/>
      <c r="SF16" s="47"/>
      <c r="SG16" s="47"/>
      <c r="SH16" s="47"/>
      <c r="SI16" s="47"/>
      <c r="SJ16" s="47"/>
      <c r="SK16" s="47"/>
      <c r="SL16" s="47"/>
      <c r="SM16" s="47"/>
      <c r="SN16" s="47"/>
      <c r="SO16" s="47"/>
      <c r="SP16" s="47"/>
      <c r="SQ16" s="47"/>
      <c r="SR16" s="47"/>
      <c r="SS16" s="47"/>
      <c r="ST16" s="47"/>
      <c r="SU16" s="47"/>
      <c r="SV16" s="47"/>
      <c r="SW16" s="47"/>
      <c r="SX16" s="47"/>
      <c r="SY16" s="47"/>
      <c r="SZ16" s="47"/>
      <c r="TA16" s="47"/>
      <c r="TB16" s="47"/>
      <c r="TC16" s="47"/>
      <c r="TD16" s="47"/>
      <c r="TE16" s="47"/>
      <c r="TF16" s="47"/>
      <c r="TG16" s="47"/>
      <c r="TH16" s="47"/>
      <c r="TI16" s="47"/>
      <c r="TJ16" s="47"/>
      <c r="TK16" s="47"/>
      <c r="TL16" s="47"/>
      <c r="TM16" s="47"/>
      <c r="TN16" s="47"/>
      <c r="TO16" s="47"/>
      <c r="TP16" s="47"/>
      <c r="TQ16" s="47"/>
      <c r="TR16" s="47"/>
      <c r="TS16" s="47"/>
      <c r="TT16" s="47"/>
      <c r="TU16" s="47"/>
      <c r="TV16" s="47"/>
      <c r="TW16" s="47"/>
      <c r="TX16" s="47"/>
      <c r="TY16" s="47"/>
      <c r="TZ16" s="47"/>
      <c r="UA16" s="47"/>
      <c r="UB16" s="47"/>
      <c r="UC16" s="47"/>
      <c r="UD16" s="47"/>
      <c r="UE16" s="47"/>
      <c r="UF16" s="47"/>
      <c r="UG16" s="47"/>
      <c r="UH16" s="47"/>
      <c r="UI16" s="47"/>
      <c r="UJ16" s="47"/>
      <c r="UK16" s="47"/>
      <c r="UL16" s="47"/>
      <c r="UM16" s="47"/>
      <c r="UN16" s="47"/>
      <c r="UO16" s="47"/>
      <c r="UP16" s="47"/>
      <c r="UQ16" s="47"/>
      <c r="UR16" s="47"/>
      <c r="US16" s="47"/>
      <c r="UT16" s="47"/>
      <c r="UU16" s="47"/>
      <c r="UV16" s="47"/>
      <c r="UW16" s="47"/>
      <c r="UX16" s="47"/>
      <c r="UY16" s="47"/>
      <c r="UZ16" s="47"/>
      <c r="VA16" s="47"/>
      <c r="VB16" s="47"/>
      <c r="VC16" s="47"/>
      <c r="VD16" s="47"/>
      <c r="VE16" s="47"/>
      <c r="VF16" s="47"/>
      <c r="VG16" s="47"/>
      <c r="VH16" s="47"/>
      <c r="VI16" s="47"/>
      <c r="VJ16" s="47"/>
      <c r="VK16" s="47"/>
      <c r="VL16" s="47"/>
      <c r="VM16" s="47"/>
      <c r="VN16" s="47"/>
      <c r="VO16" s="47"/>
      <c r="VP16" s="47"/>
      <c r="VQ16" s="47"/>
      <c r="VR16" s="47"/>
      <c r="VS16" s="47"/>
      <c r="VT16" s="47"/>
      <c r="VU16" s="47"/>
      <c r="VV16" s="47"/>
      <c r="VW16" s="47"/>
      <c r="VX16" s="47"/>
      <c r="VY16" s="47"/>
      <c r="VZ16" s="47"/>
      <c r="WA16" s="47"/>
      <c r="WB16" s="47"/>
      <c r="WC16" s="47"/>
      <c r="WD16" s="47"/>
      <c r="WE16" s="47"/>
      <c r="WF16" s="47"/>
      <c r="WG16" s="47"/>
      <c r="WH16" s="47"/>
      <c r="WI16" s="47"/>
      <c r="WJ16" s="47"/>
      <c r="WK16" s="47"/>
      <c r="WL16" s="47"/>
      <c r="WM16" s="47"/>
      <c r="WN16" s="47"/>
      <c r="WO16" s="47"/>
      <c r="WP16" s="47"/>
      <c r="WQ16" s="47"/>
      <c r="WR16" s="47"/>
      <c r="WS16" s="47"/>
      <c r="WT16" s="47"/>
      <c r="WU16" s="47"/>
      <c r="WV16" s="47"/>
      <c r="WW16" s="47"/>
      <c r="WX16" s="47"/>
      <c r="WY16" s="47"/>
      <c r="WZ16" s="47"/>
      <c r="XA16" s="47"/>
      <c r="XB16" s="47"/>
      <c r="XC16" s="47"/>
      <c r="XD16" s="47"/>
      <c r="XE16" s="47"/>
      <c r="XF16" s="47"/>
      <c r="XG16" s="47"/>
      <c r="XH16" s="47"/>
      <c r="XI16" s="47"/>
      <c r="XJ16" s="47"/>
      <c r="XK16" s="47"/>
      <c r="XL16" s="47"/>
      <c r="XM16" s="47"/>
      <c r="XN16" s="47"/>
      <c r="XO16" s="47"/>
      <c r="XP16" s="47"/>
      <c r="XQ16" s="47"/>
      <c r="XR16" s="47"/>
      <c r="XS16" s="47"/>
      <c r="XT16" s="47"/>
      <c r="XU16" s="47"/>
      <c r="XV16" s="47"/>
      <c r="XW16" s="47"/>
      <c r="XX16" s="47"/>
      <c r="XY16" s="47"/>
      <c r="XZ16" s="47"/>
      <c r="YA16" s="47"/>
      <c r="YB16" s="47"/>
      <c r="YC16" s="47"/>
      <c r="YD16" s="47"/>
      <c r="YE16" s="47"/>
      <c r="YF16" s="47"/>
      <c r="YG16" s="47"/>
      <c r="YH16" s="47"/>
      <c r="YI16" s="47"/>
      <c r="YJ16" s="47"/>
      <c r="YK16" s="47"/>
      <c r="YL16" s="47"/>
      <c r="YM16" s="47"/>
      <c r="YN16" s="47"/>
      <c r="YO16" s="47"/>
      <c r="YP16" s="47"/>
      <c r="YQ16" s="47"/>
      <c r="YR16" s="47"/>
      <c r="YS16" s="47"/>
      <c r="YT16" s="47"/>
      <c r="YU16" s="47"/>
      <c r="YV16" s="47"/>
      <c r="YW16" s="47"/>
      <c r="YX16" s="47"/>
      <c r="YY16" s="47"/>
      <c r="YZ16" s="47"/>
      <c r="ZA16" s="47"/>
      <c r="ZB16" s="47"/>
      <c r="ZC16" s="47"/>
      <c r="ZD16" s="47"/>
      <c r="ZE16" s="47"/>
      <c r="ZF16" s="47"/>
      <c r="ZG16" s="47"/>
      <c r="ZH16" s="47"/>
      <c r="ZI16" s="47"/>
      <c r="ZJ16" s="47"/>
      <c r="ZK16" s="47"/>
      <c r="ZL16" s="47"/>
      <c r="ZM16" s="47"/>
      <c r="ZN16" s="47"/>
      <c r="ZO16" s="47"/>
      <c r="ZP16" s="47"/>
      <c r="ZQ16" s="47"/>
      <c r="ZR16" s="47"/>
      <c r="ZS16" s="47"/>
      <c r="ZT16" s="47"/>
      <c r="ZU16" s="47"/>
      <c r="ZV16" s="47"/>
      <c r="ZW16" s="47"/>
      <c r="ZX16" s="47"/>
      <c r="ZY16" s="47"/>
      <c r="ZZ16" s="47"/>
      <c r="AAA16" s="47"/>
      <c r="AAB16" s="47"/>
      <c r="AAC16" s="47"/>
      <c r="AAD16" s="47"/>
      <c r="AAE16" s="47"/>
      <c r="AAF16" s="47"/>
      <c r="AAG16" s="47"/>
      <c r="AAH16" s="47"/>
      <c r="AAI16" s="47"/>
      <c r="AAJ16" s="47"/>
      <c r="AAK16" s="47"/>
      <c r="AAL16" s="47"/>
      <c r="AAM16" s="47"/>
      <c r="AAN16" s="47"/>
      <c r="AAO16" s="47"/>
      <c r="AAP16" s="47"/>
      <c r="AAQ16" s="47"/>
      <c r="AAR16" s="47"/>
      <c r="AAS16" s="47"/>
      <c r="AAT16" s="47"/>
      <c r="AAU16" s="47"/>
      <c r="AAV16" s="47"/>
      <c r="AAW16" s="47"/>
      <c r="AAX16" s="47"/>
      <c r="AAY16" s="47"/>
      <c r="AAZ16" s="47"/>
      <c r="ABA16" s="47"/>
      <c r="ABB16" s="47"/>
      <c r="ABC16" s="47"/>
      <c r="ABD16" s="47"/>
      <c r="ABE16" s="47"/>
      <c r="ABF16" s="47"/>
      <c r="ABG16" s="47"/>
      <c r="ABH16" s="47"/>
      <c r="ABI16" s="47"/>
      <c r="ABJ16" s="47"/>
      <c r="ABK16" s="47"/>
      <c r="ABL16" s="47"/>
      <c r="ABM16" s="47"/>
      <c r="ABN16" s="47"/>
      <c r="ABO16" s="47"/>
      <c r="ABP16" s="47"/>
      <c r="ABQ16" s="47"/>
      <c r="ABR16" s="47"/>
      <c r="ABS16" s="47"/>
      <c r="ABT16" s="47"/>
      <c r="ABU16" s="47"/>
      <c r="ABV16" s="47"/>
      <c r="ABW16" s="47"/>
      <c r="ABX16" s="47"/>
      <c r="ABY16" s="47"/>
      <c r="ABZ16" s="47"/>
      <c r="ACA16" s="47"/>
      <c r="ACB16" s="47"/>
      <c r="ACC16" s="47"/>
      <c r="ACD16" s="47"/>
      <c r="ACE16" s="47"/>
      <c r="ACF16" s="47"/>
      <c r="ACG16" s="47"/>
      <c r="ACH16" s="47"/>
      <c r="ACI16" s="47"/>
      <c r="ACJ16" s="47"/>
      <c r="ACK16" s="47"/>
      <c r="ACL16" s="47"/>
      <c r="ACM16" s="47"/>
      <c r="ACN16" s="47"/>
      <c r="ACO16" s="47"/>
      <c r="ACP16" s="47"/>
      <c r="ACQ16" s="47"/>
      <c r="ACR16" s="47"/>
      <c r="ACS16" s="47"/>
      <c r="ACT16" s="47"/>
      <c r="ACU16" s="47"/>
      <c r="ACV16" s="47"/>
      <c r="ACW16" s="47"/>
      <c r="ACX16" s="47"/>
      <c r="ACY16" s="47"/>
      <c r="ACZ16" s="47"/>
      <c r="ADA16" s="47"/>
      <c r="ADB16" s="47"/>
      <c r="ADC16" s="47"/>
      <c r="ADD16" s="47"/>
      <c r="ADE16" s="47"/>
      <c r="ADF16" s="47"/>
      <c r="ADG16" s="47"/>
      <c r="ADH16" s="47"/>
      <c r="ADI16" s="47"/>
      <c r="ADJ16" s="47"/>
      <c r="ADK16" s="47"/>
      <c r="ADL16" s="47"/>
      <c r="ADM16" s="47"/>
      <c r="ADN16" s="47"/>
      <c r="ADO16" s="47"/>
      <c r="ADP16" s="47"/>
      <c r="ADQ16" s="47"/>
      <c r="ADR16" s="47"/>
      <c r="ADS16" s="47"/>
      <c r="ADT16" s="47"/>
      <c r="ADU16" s="47"/>
      <c r="ADV16" s="47"/>
      <c r="ADW16" s="47"/>
      <c r="ADX16" s="47"/>
      <c r="ADY16" s="47"/>
      <c r="ADZ16" s="47"/>
      <c r="AEA16" s="47"/>
      <c r="AEB16" s="47"/>
      <c r="AEC16" s="47"/>
      <c r="AED16" s="47"/>
      <c r="AEE16" s="47"/>
      <c r="AEF16" s="47"/>
      <c r="AEG16" s="47"/>
      <c r="AEH16" s="47"/>
      <c r="AEI16" s="47"/>
      <c r="AEJ16" s="47"/>
      <c r="AEK16" s="47"/>
      <c r="AEL16" s="47"/>
      <c r="AEM16" s="47"/>
      <c r="AEN16" s="47"/>
      <c r="AEO16" s="47"/>
      <c r="AEP16" s="47"/>
      <c r="AEQ16" s="47"/>
      <c r="AER16" s="47"/>
      <c r="AES16" s="47"/>
      <c r="AET16" s="47"/>
      <c r="AEU16" s="47"/>
      <c r="AEV16" s="47"/>
      <c r="AEW16" s="47"/>
      <c r="AEX16" s="47"/>
      <c r="AEY16" s="47"/>
      <c r="AEZ16" s="47"/>
      <c r="AFA16" s="47"/>
      <c r="AFB16" s="47"/>
      <c r="AFC16" s="47"/>
      <c r="AFD16" s="47"/>
      <c r="AFE16" s="47"/>
      <c r="AFF16" s="47"/>
      <c r="AFG16" s="47"/>
      <c r="AFH16" s="47"/>
      <c r="AFI16" s="47"/>
      <c r="AFJ16" s="47"/>
      <c r="AFK16" s="47"/>
      <c r="AFL16" s="47"/>
      <c r="AFM16" s="47"/>
      <c r="AFN16" s="47"/>
      <c r="AFO16" s="47"/>
      <c r="AFP16" s="47"/>
      <c r="AFQ16" s="47"/>
      <c r="AFR16" s="47"/>
      <c r="AFS16" s="47"/>
      <c r="AFT16" s="47"/>
      <c r="AFU16" s="47"/>
      <c r="AFV16" s="47"/>
      <c r="AFW16" s="47"/>
      <c r="AFX16" s="47"/>
      <c r="AFY16" s="47"/>
      <c r="AFZ16" s="47"/>
      <c r="AGA16" s="47"/>
      <c r="AGB16" s="47"/>
      <c r="AGC16" s="47"/>
      <c r="AGD16" s="47"/>
      <c r="AGE16" s="47"/>
      <c r="AGF16" s="47"/>
      <c r="AGG16" s="47"/>
      <c r="AGH16" s="47"/>
      <c r="AGI16" s="47"/>
      <c r="AGJ16" s="47"/>
      <c r="AGK16" s="47"/>
      <c r="AGL16" s="47"/>
      <c r="AGM16" s="47"/>
      <c r="AGN16" s="47"/>
      <c r="AGO16" s="47"/>
      <c r="AGP16" s="47"/>
      <c r="AGQ16" s="47"/>
      <c r="AGR16" s="47"/>
      <c r="AGS16" s="47"/>
      <c r="AGT16" s="47"/>
      <c r="AGU16" s="47"/>
      <c r="AGV16" s="47"/>
      <c r="AGW16" s="47"/>
      <c r="AGX16" s="47"/>
      <c r="AGY16" s="47"/>
      <c r="AGZ16" s="47"/>
      <c r="AHA16" s="47"/>
      <c r="AHB16" s="47"/>
      <c r="AHC16" s="47"/>
      <c r="AHD16" s="47"/>
      <c r="AHE16" s="47"/>
      <c r="AHF16" s="47"/>
      <c r="AHG16" s="47"/>
      <c r="AHH16" s="47"/>
      <c r="AHI16" s="47"/>
      <c r="AHJ16" s="47"/>
      <c r="AHK16" s="47"/>
      <c r="AHL16" s="47"/>
      <c r="AHM16" s="47"/>
      <c r="AHN16" s="47"/>
      <c r="AHO16" s="47"/>
      <c r="AHP16" s="47"/>
      <c r="AHQ16" s="47"/>
      <c r="AHR16" s="47"/>
      <c r="AHS16" s="47"/>
      <c r="AHT16" s="47"/>
      <c r="AHU16" s="47"/>
      <c r="AHV16" s="47"/>
      <c r="AHW16" s="47"/>
      <c r="AHX16" s="47"/>
      <c r="AHY16" s="47"/>
      <c r="AHZ16" s="47"/>
      <c r="AIA16" s="47"/>
      <c r="AIB16" s="47"/>
      <c r="AIC16" s="47"/>
      <c r="AID16" s="47"/>
      <c r="AIE16" s="47"/>
      <c r="AIF16" s="47"/>
      <c r="AIG16" s="47"/>
      <c r="AIH16" s="47"/>
      <c r="AII16" s="47"/>
      <c r="AIJ16" s="47"/>
      <c r="AIK16" s="47"/>
      <c r="AIL16" s="47"/>
      <c r="AIM16" s="47"/>
      <c r="AIN16" s="47"/>
      <c r="AIO16" s="47"/>
      <c r="AIP16" s="47"/>
      <c r="AIQ16" s="47"/>
      <c r="AIR16" s="47"/>
      <c r="AIS16" s="47"/>
      <c r="AIT16" s="47"/>
      <c r="AIU16" s="47"/>
      <c r="AIV16" s="47"/>
      <c r="AIW16" s="47"/>
      <c r="AIX16" s="47"/>
      <c r="AIY16" s="47"/>
      <c r="AIZ16" s="47"/>
      <c r="AJA16" s="47"/>
      <c r="AJB16" s="47"/>
      <c r="AJC16" s="47"/>
      <c r="AJD16" s="47"/>
      <c r="AJE16" s="47"/>
      <c r="AJF16" s="47"/>
      <c r="AJG16" s="47"/>
      <c r="AJH16" s="47"/>
      <c r="AJI16" s="47"/>
      <c r="AJJ16" s="47"/>
      <c r="AJK16" s="47"/>
      <c r="AJL16" s="47"/>
      <c r="AJM16" s="47"/>
      <c r="AJN16" s="47"/>
      <c r="AJO16" s="47"/>
      <c r="AJP16" s="47"/>
      <c r="AJQ16" s="47"/>
      <c r="AJR16" s="47"/>
      <c r="AJS16" s="47"/>
      <c r="AJT16" s="47"/>
      <c r="AJU16" s="47"/>
      <c r="AJV16" s="47"/>
      <c r="AJW16" s="47"/>
      <c r="AJX16" s="47"/>
      <c r="AJY16" s="47"/>
      <c r="AJZ16" s="47"/>
      <c r="AKA16" s="47"/>
      <c r="AKB16" s="47"/>
      <c r="AKC16" s="47"/>
      <c r="AKD16" s="47"/>
      <c r="AKE16" s="47"/>
      <c r="AKF16" s="47"/>
      <c r="AKG16" s="47"/>
      <c r="AKH16" s="47"/>
      <c r="AKI16" s="47"/>
      <c r="AKJ16" s="47"/>
      <c r="AKK16" s="47"/>
      <c r="AKL16" s="47"/>
      <c r="AKM16" s="47"/>
      <c r="AKN16" s="47"/>
      <c r="AKO16" s="47"/>
      <c r="AKP16" s="47"/>
      <c r="AKQ16" s="47"/>
      <c r="AKR16" s="47"/>
      <c r="AKS16" s="47"/>
      <c r="AKT16" s="47"/>
      <c r="AKU16" s="47"/>
      <c r="AKV16" s="47"/>
      <c r="AKW16" s="47"/>
      <c r="AKX16" s="47"/>
      <c r="AKY16" s="47"/>
      <c r="AKZ16" s="47"/>
      <c r="ALA16" s="47"/>
      <c r="ALB16" s="47"/>
      <c r="ALC16" s="47"/>
      <c r="ALD16" s="47"/>
      <c r="ALE16" s="47"/>
      <c r="ALF16" s="47"/>
      <c r="ALG16" s="47"/>
      <c r="ALH16" s="47"/>
      <c r="ALI16" s="47"/>
      <c r="ALJ16" s="47"/>
      <c r="ALK16" s="47"/>
      <c r="ALL16" s="47"/>
      <c r="ALM16" s="47"/>
      <c r="ALN16" s="47"/>
      <c r="ALO16" s="47"/>
      <c r="ALP16" s="47"/>
      <c r="ALQ16" s="47"/>
      <c r="ALR16" s="47"/>
      <c r="ALS16" s="47"/>
      <c r="ALT16" s="47"/>
      <c r="ALU16" s="47"/>
      <c r="ALV16" s="47"/>
      <c r="ALW16" s="47"/>
      <c r="ALX16" s="47"/>
      <c r="ALY16" s="47"/>
      <c r="ALZ16" s="47"/>
      <c r="AMA16" s="47"/>
      <c r="AMB16" s="47"/>
      <c r="AMC16" s="47"/>
      <c r="AMD16" s="47"/>
      <c r="AME16" s="47"/>
      <c r="AMF16" s="47"/>
      <c r="AMG16" s="47"/>
      <c r="AMH16" s="47"/>
      <c r="AMI16" s="47"/>
      <c r="AMJ16" s="47"/>
    </row>
    <row r="17" spans="1:1024" s="85" customFormat="1" ht="11.25" customHeight="1" x14ac:dyDescent="0.3">
      <c r="A17" s="38" t="s">
        <v>140</v>
      </c>
      <c r="B17" s="38" t="s">
        <v>108</v>
      </c>
      <c r="C17" s="57" t="s">
        <v>154</v>
      </c>
      <c r="D17" s="46"/>
      <c r="E17" s="46">
        <v>45680</v>
      </c>
      <c r="F17" s="46">
        <v>45680</v>
      </c>
      <c r="G17" s="38" t="s">
        <v>376</v>
      </c>
      <c r="H17" s="39" t="s">
        <v>141</v>
      </c>
      <c r="I17" s="39" t="s">
        <v>113</v>
      </c>
      <c r="J17" s="39" t="s">
        <v>113</v>
      </c>
      <c r="K17" s="57" t="s">
        <v>404</v>
      </c>
      <c r="L17" s="57" t="s">
        <v>405</v>
      </c>
      <c r="M17" s="38" t="s">
        <v>176</v>
      </c>
      <c r="N17" s="57" t="s">
        <v>142</v>
      </c>
      <c r="O17" s="89" t="s">
        <v>245</v>
      </c>
      <c r="P17" s="57" t="s">
        <v>429</v>
      </c>
      <c r="Q17" s="46">
        <v>23486</v>
      </c>
      <c r="R17" s="47"/>
      <c r="S17" s="47"/>
      <c r="T17" s="47"/>
      <c r="U17" s="47"/>
      <c r="V17" s="47" t="s">
        <v>365</v>
      </c>
      <c r="W17" s="46">
        <v>45680</v>
      </c>
      <c r="X17" s="83">
        <v>0.8125</v>
      </c>
      <c r="Y17" s="57" t="s">
        <v>459</v>
      </c>
      <c r="Z17" s="46">
        <v>45681</v>
      </c>
      <c r="AA17" s="47" t="s">
        <v>460</v>
      </c>
      <c r="AB17" s="47" t="s">
        <v>443</v>
      </c>
      <c r="AC17" s="45">
        <v>45681</v>
      </c>
      <c r="AD17" s="87" t="s">
        <v>450</v>
      </c>
      <c r="AE17" s="40" t="s">
        <v>465</v>
      </c>
      <c r="AF17" s="40" t="s">
        <v>128</v>
      </c>
      <c r="AG17" s="47" t="s">
        <v>125</v>
      </c>
      <c r="AH17" s="47" t="s">
        <v>126</v>
      </c>
      <c r="AI17" s="84" t="s">
        <v>123</v>
      </c>
      <c r="AJ17" s="47" t="s">
        <v>124</v>
      </c>
      <c r="AK17" s="58">
        <v>3</v>
      </c>
      <c r="AL17" s="79" t="s">
        <v>143</v>
      </c>
      <c r="AM17" s="86"/>
      <c r="AN17" s="86"/>
      <c r="AO17" s="38"/>
      <c r="AP17" s="47" t="s">
        <v>143</v>
      </c>
      <c r="AQ17" s="79" t="s">
        <v>143</v>
      </c>
      <c r="AR17" s="86"/>
      <c r="AS17" s="86"/>
      <c r="AT17" s="47"/>
      <c r="AU17" s="57" t="s">
        <v>143</v>
      </c>
      <c r="AV17" s="79" t="s">
        <v>143</v>
      </c>
      <c r="AW17" s="86"/>
      <c r="AX17" s="86"/>
      <c r="AY17" s="47"/>
      <c r="AZ17" s="47" t="s">
        <v>143</v>
      </c>
      <c r="BA17" s="38" t="s">
        <v>374</v>
      </c>
      <c r="BB17" s="38" t="s">
        <v>373</v>
      </c>
      <c r="BC17" s="39" t="s">
        <v>374</v>
      </c>
      <c r="BD17" s="41" t="s">
        <v>375</v>
      </c>
      <c r="BE17" s="41">
        <f t="shared" si="0"/>
        <v>45680</v>
      </c>
      <c r="BF17" s="83">
        <v>0.45833333333333331</v>
      </c>
      <c r="BG17" s="38" t="s">
        <v>374</v>
      </c>
      <c r="BH17" s="38" t="s">
        <v>372</v>
      </c>
      <c r="BI17" s="45" t="s">
        <v>374</v>
      </c>
      <c r="BJ17" s="45" t="s">
        <v>375</v>
      </c>
      <c r="BK17" s="45">
        <v>45679</v>
      </c>
      <c r="BL17" s="83">
        <v>0.95833333333333404</v>
      </c>
      <c r="BM17" s="39" t="s">
        <v>143</v>
      </c>
      <c r="BN17" s="41"/>
      <c r="BO17" s="39"/>
      <c r="BP17" s="38"/>
      <c r="BQ17" s="41"/>
      <c r="BR17" s="83"/>
      <c r="BS17" s="41" t="s">
        <v>143</v>
      </c>
      <c r="BT17" s="41"/>
      <c r="BU17" s="41"/>
      <c r="BV17" s="41"/>
      <c r="BW17" s="41"/>
      <c r="BX17" s="83"/>
      <c r="BY17" s="38"/>
      <c r="BZ17" s="47"/>
      <c r="CA17" s="86"/>
      <c r="CB17" s="86"/>
      <c r="CC17" s="47"/>
      <c r="CD17" s="47"/>
      <c r="CE17" s="86"/>
      <c r="CF17" s="86"/>
      <c r="CG17" s="47"/>
      <c r="CH17" s="47"/>
      <c r="CI17" s="47"/>
      <c r="CJ17" s="47"/>
      <c r="CK17" s="47"/>
      <c r="CL17" s="38"/>
      <c r="CM17" s="38"/>
      <c r="CN17" s="38"/>
      <c r="CO17" s="59"/>
      <c r="CP17" s="38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  <c r="GS17" s="47"/>
      <c r="GT17" s="47"/>
      <c r="GU17" s="47"/>
      <c r="GV17" s="47"/>
      <c r="GW17" s="47"/>
      <c r="GX17" s="47"/>
      <c r="GY17" s="47"/>
      <c r="GZ17" s="47"/>
      <c r="HA17" s="47"/>
      <c r="HB17" s="47"/>
      <c r="HC17" s="47"/>
      <c r="HD17" s="47"/>
      <c r="HE17" s="47"/>
      <c r="HF17" s="47"/>
      <c r="HG17" s="47"/>
      <c r="HH17" s="47"/>
      <c r="HI17" s="47"/>
      <c r="HJ17" s="47"/>
      <c r="HK17" s="47"/>
      <c r="HL17" s="47"/>
      <c r="HM17" s="47"/>
      <c r="HN17" s="47"/>
      <c r="HO17" s="47"/>
      <c r="HP17" s="47"/>
      <c r="HQ17" s="47"/>
      <c r="HR17" s="47"/>
      <c r="HS17" s="47"/>
      <c r="HT17" s="47"/>
      <c r="HU17" s="47"/>
      <c r="HV17" s="47"/>
      <c r="HW17" s="47"/>
      <c r="HX17" s="47"/>
      <c r="HY17" s="47"/>
      <c r="HZ17" s="47"/>
      <c r="IA17" s="47"/>
      <c r="IB17" s="47"/>
      <c r="IC17" s="47"/>
      <c r="ID17" s="47"/>
      <c r="IE17" s="47"/>
      <c r="IF17" s="47"/>
      <c r="IG17" s="47"/>
      <c r="IH17" s="47"/>
      <c r="II17" s="47"/>
      <c r="IJ17" s="47"/>
      <c r="IK17" s="47"/>
      <c r="IL17" s="47"/>
      <c r="IM17" s="47"/>
      <c r="IN17" s="47"/>
      <c r="IO17" s="47"/>
      <c r="IP17" s="47"/>
      <c r="IQ17" s="47"/>
      <c r="IR17" s="47"/>
      <c r="IS17" s="47"/>
      <c r="IT17" s="47"/>
      <c r="IU17" s="47"/>
      <c r="IV17" s="47"/>
      <c r="IW17" s="47"/>
      <c r="IX17" s="47"/>
      <c r="IY17" s="47"/>
      <c r="IZ17" s="47"/>
      <c r="JA17" s="47"/>
      <c r="JB17" s="47"/>
      <c r="JC17" s="47"/>
      <c r="JD17" s="47"/>
      <c r="JE17" s="47"/>
      <c r="JF17" s="47"/>
      <c r="JG17" s="47"/>
      <c r="JH17" s="47"/>
      <c r="JI17" s="47"/>
      <c r="JJ17" s="47"/>
      <c r="JK17" s="47"/>
      <c r="JL17" s="47"/>
      <c r="JM17" s="47"/>
      <c r="JN17" s="47"/>
      <c r="JO17" s="47"/>
      <c r="JP17" s="47"/>
      <c r="JQ17" s="47"/>
      <c r="JR17" s="47"/>
      <c r="JS17" s="47"/>
      <c r="JT17" s="47"/>
      <c r="JU17" s="47"/>
      <c r="JV17" s="47"/>
      <c r="JW17" s="47"/>
      <c r="JX17" s="47"/>
      <c r="JY17" s="47"/>
      <c r="JZ17" s="47"/>
      <c r="KA17" s="47"/>
      <c r="KB17" s="47"/>
      <c r="KC17" s="47"/>
      <c r="KD17" s="47"/>
      <c r="KE17" s="47"/>
      <c r="KF17" s="47"/>
      <c r="KG17" s="47"/>
      <c r="KH17" s="47"/>
      <c r="KI17" s="47"/>
      <c r="KJ17" s="47"/>
      <c r="KK17" s="47"/>
      <c r="KL17" s="47"/>
      <c r="KM17" s="47"/>
      <c r="KN17" s="47"/>
      <c r="KO17" s="47"/>
      <c r="KP17" s="47"/>
      <c r="KQ17" s="47"/>
      <c r="KR17" s="47"/>
      <c r="KS17" s="47"/>
      <c r="KT17" s="47"/>
      <c r="KU17" s="47"/>
      <c r="KV17" s="47"/>
      <c r="KW17" s="47"/>
      <c r="KX17" s="47"/>
      <c r="KY17" s="47"/>
      <c r="KZ17" s="47"/>
      <c r="LA17" s="47"/>
      <c r="LB17" s="47"/>
      <c r="LC17" s="47"/>
      <c r="LD17" s="47"/>
      <c r="LE17" s="47"/>
      <c r="LF17" s="47"/>
      <c r="LG17" s="47"/>
      <c r="LH17" s="47"/>
      <c r="LI17" s="47"/>
      <c r="LJ17" s="47"/>
      <c r="LK17" s="47"/>
      <c r="LL17" s="47"/>
      <c r="LM17" s="47"/>
      <c r="LN17" s="47"/>
      <c r="LO17" s="47"/>
      <c r="LP17" s="47"/>
      <c r="LQ17" s="47"/>
      <c r="LR17" s="47"/>
      <c r="LS17" s="47"/>
      <c r="LT17" s="47"/>
      <c r="LU17" s="47"/>
      <c r="LV17" s="47"/>
      <c r="LW17" s="47"/>
      <c r="LX17" s="47"/>
      <c r="LY17" s="47"/>
      <c r="LZ17" s="47"/>
      <c r="MA17" s="47"/>
      <c r="MB17" s="47"/>
      <c r="MC17" s="47"/>
      <c r="MD17" s="47"/>
      <c r="ME17" s="47"/>
      <c r="MF17" s="47"/>
      <c r="MG17" s="47"/>
      <c r="MH17" s="47"/>
      <c r="MI17" s="47"/>
      <c r="MJ17" s="47"/>
      <c r="MK17" s="47"/>
      <c r="ML17" s="47"/>
      <c r="MM17" s="47"/>
      <c r="MN17" s="47"/>
      <c r="MO17" s="47"/>
      <c r="MP17" s="47"/>
      <c r="MQ17" s="47"/>
      <c r="MR17" s="47"/>
      <c r="MS17" s="47"/>
      <c r="MT17" s="47"/>
      <c r="MU17" s="47"/>
      <c r="MV17" s="47"/>
      <c r="MW17" s="47"/>
      <c r="MX17" s="47"/>
      <c r="MY17" s="47"/>
      <c r="MZ17" s="47"/>
      <c r="NA17" s="47"/>
      <c r="NB17" s="47"/>
      <c r="NC17" s="47"/>
      <c r="ND17" s="47"/>
      <c r="NE17" s="47"/>
      <c r="NF17" s="47"/>
      <c r="NG17" s="47"/>
      <c r="NH17" s="47"/>
      <c r="NI17" s="47"/>
      <c r="NJ17" s="47"/>
      <c r="NK17" s="47"/>
      <c r="NL17" s="47"/>
      <c r="NM17" s="47"/>
      <c r="NN17" s="47"/>
      <c r="NO17" s="47"/>
      <c r="NP17" s="47"/>
      <c r="NQ17" s="47"/>
      <c r="NR17" s="47"/>
      <c r="NS17" s="47"/>
      <c r="NT17" s="47"/>
      <c r="NU17" s="47"/>
      <c r="NV17" s="47"/>
      <c r="NW17" s="47"/>
      <c r="NX17" s="47"/>
      <c r="NY17" s="47"/>
      <c r="NZ17" s="47"/>
      <c r="OA17" s="47"/>
      <c r="OB17" s="47"/>
      <c r="OC17" s="47"/>
      <c r="OD17" s="47"/>
      <c r="OE17" s="47"/>
      <c r="OF17" s="47"/>
      <c r="OG17" s="47"/>
      <c r="OH17" s="47"/>
      <c r="OI17" s="47"/>
      <c r="OJ17" s="47"/>
      <c r="OK17" s="47"/>
      <c r="OL17" s="47"/>
      <c r="OM17" s="47"/>
      <c r="ON17" s="47"/>
      <c r="OO17" s="47"/>
      <c r="OP17" s="47"/>
      <c r="OQ17" s="47"/>
      <c r="OR17" s="47"/>
      <c r="OS17" s="47"/>
      <c r="OT17" s="47"/>
      <c r="OU17" s="47"/>
      <c r="OV17" s="47"/>
      <c r="OW17" s="47"/>
      <c r="OX17" s="47"/>
      <c r="OY17" s="47"/>
      <c r="OZ17" s="47"/>
      <c r="PA17" s="47"/>
      <c r="PB17" s="47"/>
      <c r="PC17" s="47"/>
      <c r="PD17" s="47"/>
      <c r="PE17" s="47"/>
      <c r="PF17" s="47"/>
      <c r="PG17" s="47"/>
      <c r="PH17" s="47"/>
      <c r="PI17" s="47"/>
      <c r="PJ17" s="47"/>
      <c r="PK17" s="47"/>
      <c r="PL17" s="47"/>
      <c r="PM17" s="47"/>
      <c r="PN17" s="47"/>
      <c r="PO17" s="47"/>
      <c r="PP17" s="47"/>
      <c r="PQ17" s="47"/>
      <c r="PR17" s="47"/>
      <c r="PS17" s="47"/>
      <c r="PT17" s="47"/>
      <c r="PU17" s="47"/>
      <c r="PV17" s="47"/>
      <c r="PW17" s="47"/>
      <c r="PX17" s="47"/>
      <c r="PY17" s="47"/>
      <c r="PZ17" s="47"/>
      <c r="QA17" s="47"/>
      <c r="QB17" s="47"/>
      <c r="QC17" s="47"/>
      <c r="QD17" s="47"/>
      <c r="QE17" s="47"/>
      <c r="QF17" s="47"/>
      <c r="QG17" s="47"/>
      <c r="QH17" s="47"/>
      <c r="QI17" s="47"/>
      <c r="QJ17" s="47"/>
      <c r="QK17" s="47"/>
      <c r="QL17" s="47"/>
      <c r="QM17" s="47"/>
      <c r="QN17" s="47"/>
      <c r="QO17" s="47"/>
      <c r="QP17" s="47"/>
      <c r="QQ17" s="47"/>
      <c r="QR17" s="47"/>
      <c r="QS17" s="47"/>
      <c r="QT17" s="47"/>
      <c r="QU17" s="47"/>
      <c r="QV17" s="47"/>
      <c r="QW17" s="47"/>
      <c r="QX17" s="47"/>
      <c r="QY17" s="47"/>
      <c r="QZ17" s="47"/>
      <c r="RA17" s="47"/>
      <c r="RB17" s="47"/>
      <c r="RC17" s="47"/>
      <c r="RD17" s="47"/>
      <c r="RE17" s="47"/>
      <c r="RF17" s="47"/>
      <c r="RG17" s="47"/>
      <c r="RH17" s="47"/>
      <c r="RI17" s="47"/>
      <c r="RJ17" s="47"/>
      <c r="RK17" s="47"/>
      <c r="RL17" s="47"/>
      <c r="RM17" s="47"/>
      <c r="RN17" s="47"/>
      <c r="RO17" s="47"/>
      <c r="RP17" s="47"/>
      <c r="RQ17" s="47"/>
      <c r="RR17" s="47"/>
      <c r="RS17" s="47"/>
      <c r="RT17" s="47"/>
      <c r="RU17" s="47"/>
      <c r="RV17" s="47"/>
      <c r="RW17" s="47"/>
      <c r="RX17" s="47"/>
      <c r="RY17" s="47"/>
      <c r="RZ17" s="47"/>
      <c r="SA17" s="47"/>
      <c r="SB17" s="47"/>
      <c r="SC17" s="47"/>
      <c r="SD17" s="47"/>
      <c r="SE17" s="47"/>
      <c r="SF17" s="47"/>
      <c r="SG17" s="47"/>
      <c r="SH17" s="47"/>
      <c r="SI17" s="47"/>
      <c r="SJ17" s="47"/>
      <c r="SK17" s="47"/>
      <c r="SL17" s="47"/>
      <c r="SM17" s="47"/>
      <c r="SN17" s="47"/>
      <c r="SO17" s="47"/>
      <c r="SP17" s="47"/>
      <c r="SQ17" s="47"/>
      <c r="SR17" s="47"/>
      <c r="SS17" s="47"/>
      <c r="ST17" s="47"/>
      <c r="SU17" s="47"/>
      <c r="SV17" s="47"/>
      <c r="SW17" s="47"/>
      <c r="SX17" s="47"/>
      <c r="SY17" s="47"/>
      <c r="SZ17" s="47"/>
      <c r="TA17" s="47"/>
      <c r="TB17" s="47"/>
      <c r="TC17" s="47"/>
      <c r="TD17" s="47"/>
      <c r="TE17" s="47"/>
      <c r="TF17" s="47"/>
      <c r="TG17" s="47"/>
      <c r="TH17" s="47"/>
      <c r="TI17" s="47"/>
      <c r="TJ17" s="47"/>
      <c r="TK17" s="47"/>
      <c r="TL17" s="47"/>
      <c r="TM17" s="47"/>
      <c r="TN17" s="47"/>
      <c r="TO17" s="47"/>
      <c r="TP17" s="47"/>
      <c r="TQ17" s="47"/>
      <c r="TR17" s="47"/>
      <c r="TS17" s="47"/>
      <c r="TT17" s="47"/>
      <c r="TU17" s="47"/>
      <c r="TV17" s="47"/>
      <c r="TW17" s="47"/>
      <c r="TX17" s="47"/>
      <c r="TY17" s="47"/>
      <c r="TZ17" s="47"/>
      <c r="UA17" s="47"/>
      <c r="UB17" s="47"/>
      <c r="UC17" s="47"/>
      <c r="UD17" s="47"/>
      <c r="UE17" s="47"/>
      <c r="UF17" s="47"/>
      <c r="UG17" s="47"/>
      <c r="UH17" s="47"/>
      <c r="UI17" s="47"/>
      <c r="UJ17" s="47"/>
      <c r="UK17" s="47"/>
      <c r="UL17" s="47"/>
      <c r="UM17" s="47"/>
      <c r="UN17" s="47"/>
      <c r="UO17" s="47"/>
      <c r="UP17" s="47"/>
      <c r="UQ17" s="47"/>
      <c r="UR17" s="47"/>
      <c r="US17" s="47"/>
      <c r="UT17" s="47"/>
      <c r="UU17" s="47"/>
      <c r="UV17" s="47"/>
      <c r="UW17" s="47"/>
      <c r="UX17" s="47"/>
      <c r="UY17" s="47"/>
      <c r="UZ17" s="47"/>
      <c r="VA17" s="47"/>
      <c r="VB17" s="47"/>
      <c r="VC17" s="47"/>
      <c r="VD17" s="47"/>
      <c r="VE17" s="47"/>
      <c r="VF17" s="47"/>
      <c r="VG17" s="47"/>
      <c r="VH17" s="47"/>
      <c r="VI17" s="47"/>
      <c r="VJ17" s="47"/>
      <c r="VK17" s="47"/>
      <c r="VL17" s="47"/>
      <c r="VM17" s="47"/>
      <c r="VN17" s="47"/>
      <c r="VO17" s="47"/>
      <c r="VP17" s="47"/>
      <c r="VQ17" s="47"/>
      <c r="VR17" s="47"/>
      <c r="VS17" s="47"/>
      <c r="VT17" s="47"/>
      <c r="VU17" s="47"/>
      <c r="VV17" s="47"/>
      <c r="VW17" s="47"/>
      <c r="VX17" s="47"/>
      <c r="VY17" s="47"/>
      <c r="VZ17" s="47"/>
      <c r="WA17" s="47"/>
      <c r="WB17" s="47"/>
      <c r="WC17" s="47"/>
      <c r="WD17" s="47"/>
      <c r="WE17" s="47"/>
      <c r="WF17" s="47"/>
      <c r="WG17" s="47"/>
      <c r="WH17" s="47"/>
      <c r="WI17" s="47"/>
      <c r="WJ17" s="47"/>
      <c r="WK17" s="47"/>
      <c r="WL17" s="47"/>
      <c r="WM17" s="47"/>
      <c r="WN17" s="47"/>
      <c r="WO17" s="47"/>
      <c r="WP17" s="47"/>
      <c r="WQ17" s="47"/>
      <c r="WR17" s="47"/>
      <c r="WS17" s="47"/>
      <c r="WT17" s="47"/>
      <c r="WU17" s="47"/>
      <c r="WV17" s="47"/>
      <c r="WW17" s="47"/>
      <c r="WX17" s="47"/>
      <c r="WY17" s="47"/>
      <c r="WZ17" s="47"/>
      <c r="XA17" s="47"/>
      <c r="XB17" s="47"/>
      <c r="XC17" s="47"/>
      <c r="XD17" s="47"/>
      <c r="XE17" s="47"/>
      <c r="XF17" s="47"/>
      <c r="XG17" s="47"/>
      <c r="XH17" s="47"/>
      <c r="XI17" s="47"/>
      <c r="XJ17" s="47"/>
      <c r="XK17" s="47"/>
      <c r="XL17" s="47"/>
      <c r="XM17" s="47"/>
      <c r="XN17" s="47"/>
      <c r="XO17" s="47"/>
      <c r="XP17" s="47"/>
      <c r="XQ17" s="47"/>
      <c r="XR17" s="47"/>
      <c r="XS17" s="47"/>
      <c r="XT17" s="47"/>
      <c r="XU17" s="47"/>
      <c r="XV17" s="47"/>
      <c r="XW17" s="47"/>
      <c r="XX17" s="47"/>
      <c r="XY17" s="47"/>
      <c r="XZ17" s="47"/>
      <c r="YA17" s="47"/>
      <c r="YB17" s="47"/>
      <c r="YC17" s="47"/>
      <c r="YD17" s="47"/>
      <c r="YE17" s="47"/>
      <c r="YF17" s="47"/>
      <c r="YG17" s="47"/>
      <c r="YH17" s="47"/>
      <c r="YI17" s="47"/>
      <c r="YJ17" s="47"/>
      <c r="YK17" s="47"/>
      <c r="YL17" s="47"/>
      <c r="YM17" s="47"/>
      <c r="YN17" s="47"/>
      <c r="YO17" s="47"/>
      <c r="YP17" s="47"/>
      <c r="YQ17" s="47"/>
      <c r="YR17" s="47"/>
      <c r="YS17" s="47"/>
      <c r="YT17" s="47"/>
      <c r="YU17" s="47"/>
      <c r="YV17" s="47"/>
      <c r="YW17" s="47"/>
      <c r="YX17" s="47"/>
      <c r="YY17" s="47"/>
      <c r="YZ17" s="47"/>
      <c r="ZA17" s="47"/>
      <c r="ZB17" s="47"/>
      <c r="ZC17" s="47"/>
      <c r="ZD17" s="47"/>
      <c r="ZE17" s="47"/>
      <c r="ZF17" s="47"/>
      <c r="ZG17" s="47"/>
      <c r="ZH17" s="47"/>
      <c r="ZI17" s="47"/>
      <c r="ZJ17" s="47"/>
      <c r="ZK17" s="47"/>
      <c r="ZL17" s="47"/>
      <c r="ZM17" s="47"/>
      <c r="ZN17" s="47"/>
      <c r="ZO17" s="47"/>
      <c r="ZP17" s="47"/>
      <c r="ZQ17" s="47"/>
      <c r="ZR17" s="47"/>
      <c r="ZS17" s="47"/>
      <c r="ZT17" s="47"/>
      <c r="ZU17" s="47"/>
      <c r="ZV17" s="47"/>
      <c r="ZW17" s="47"/>
      <c r="ZX17" s="47"/>
      <c r="ZY17" s="47"/>
      <c r="ZZ17" s="47"/>
      <c r="AAA17" s="47"/>
      <c r="AAB17" s="47"/>
      <c r="AAC17" s="47"/>
      <c r="AAD17" s="47"/>
      <c r="AAE17" s="47"/>
      <c r="AAF17" s="47"/>
      <c r="AAG17" s="47"/>
      <c r="AAH17" s="47"/>
      <c r="AAI17" s="47"/>
      <c r="AAJ17" s="47"/>
      <c r="AAK17" s="47"/>
      <c r="AAL17" s="47"/>
      <c r="AAM17" s="47"/>
      <c r="AAN17" s="47"/>
      <c r="AAO17" s="47"/>
      <c r="AAP17" s="47"/>
      <c r="AAQ17" s="47"/>
      <c r="AAR17" s="47"/>
      <c r="AAS17" s="47"/>
      <c r="AAT17" s="47"/>
      <c r="AAU17" s="47"/>
      <c r="AAV17" s="47"/>
      <c r="AAW17" s="47"/>
      <c r="AAX17" s="47"/>
      <c r="AAY17" s="47"/>
      <c r="AAZ17" s="47"/>
      <c r="ABA17" s="47"/>
      <c r="ABB17" s="47"/>
      <c r="ABC17" s="47"/>
      <c r="ABD17" s="47"/>
      <c r="ABE17" s="47"/>
      <c r="ABF17" s="47"/>
      <c r="ABG17" s="47"/>
      <c r="ABH17" s="47"/>
      <c r="ABI17" s="47"/>
      <c r="ABJ17" s="47"/>
      <c r="ABK17" s="47"/>
      <c r="ABL17" s="47"/>
      <c r="ABM17" s="47"/>
      <c r="ABN17" s="47"/>
      <c r="ABO17" s="47"/>
      <c r="ABP17" s="47"/>
      <c r="ABQ17" s="47"/>
      <c r="ABR17" s="47"/>
      <c r="ABS17" s="47"/>
      <c r="ABT17" s="47"/>
      <c r="ABU17" s="47"/>
      <c r="ABV17" s="47"/>
      <c r="ABW17" s="47"/>
      <c r="ABX17" s="47"/>
      <c r="ABY17" s="47"/>
      <c r="ABZ17" s="47"/>
      <c r="ACA17" s="47"/>
      <c r="ACB17" s="47"/>
      <c r="ACC17" s="47"/>
      <c r="ACD17" s="47"/>
      <c r="ACE17" s="47"/>
      <c r="ACF17" s="47"/>
      <c r="ACG17" s="47"/>
      <c r="ACH17" s="47"/>
      <c r="ACI17" s="47"/>
      <c r="ACJ17" s="47"/>
      <c r="ACK17" s="47"/>
      <c r="ACL17" s="47"/>
      <c r="ACM17" s="47"/>
      <c r="ACN17" s="47"/>
      <c r="ACO17" s="47"/>
      <c r="ACP17" s="47"/>
      <c r="ACQ17" s="47"/>
      <c r="ACR17" s="47"/>
      <c r="ACS17" s="47"/>
      <c r="ACT17" s="47"/>
      <c r="ACU17" s="47"/>
      <c r="ACV17" s="47"/>
      <c r="ACW17" s="47"/>
      <c r="ACX17" s="47"/>
      <c r="ACY17" s="47"/>
      <c r="ACZ17" s="47"/>
      <c r="ADA17" s="47"/>
      <c r="ADB17" s="47"/>
      <c r="ADC17" s="47"/>
      <c r="ADD17" s="47"/>
      <c r="ADE17" s="47"/>
      <c r="ADF17" s="47"/>
      <c r="ADG17" s="47"/>
      <c r="ADH17" s="47"/>
      <c r="ADI17" s="47"/>
      <c r="ADJ17" s="47"/>
      <c r="ADK17" s="47"/>
      <c r="ADL17" s="47"/>
      <c r="ADM17" s="47"/>
      <c r="ADN17" s="47"/>
      <c r="ADO17" s="47"/>
      <c r="ADP17" s="47"/>
      <c r="ADQ17" s="47"/>
      <c r="ADR17" s="47"/>
      <c r="ADS17" s="47"/>
      <c r="ADT17" s="47"/>
      <c r="ADU17" s="47"/>
      <c r="ADV17" s="47"/>
      <c r="ADW17" s="47"/>
      <c r="ADX17" s="47"/>
      <c r="ADY17" s="47"/>
      <c r="ADZ17" s="47"/>
      <c r="AEA17" s="47"/>
      <c r="AEB17" s="47"/>
      <c r="AEC17" s="47"/>
      <c r="AED17" s="47"/>
      <c r="AEE17" s="47"/>
      <c r="AEF17" s="47"/>
      <c r="AEG17" s="47"/>
      <c r="AEH17" s="47"/>
      <c r="AEI17" s="47"/>
      <c r="AEJ17" s="47"/>
      <c r="AEK17" s="47"/>
      <c r="AEL17" s="47"/>
      <c r="AEM17" s="47"/>
      <c r="AEN17" s="47"/>
      <c r="AEO17" s="47"/>
      <c r="AEP17" s="47"/>
      <c r="AEQ17" s="47"/>
      <c r="AER17" s="47"/>
      <c r="AES17" s="47"/>
      <c r="AET17" s="47"/>
      <c r="AEU17" s="47"/>
      <c r="AEV17" s="47"/>
      <c r="AEW17" s="47"/>
      <c r="AEX17" s="47"/>
      <c r="AEY17" s="47"/>
      <c r="AEZ17" s="47"/>
      <c r="AFA17" s="47"/>
      <c r="AFB17" s="47"/>
      <c r="AFC17" s="47"/>
      <c r="AFD17" s="47"/>
      <c r="AFE17" s="47"/>
      <c r="AFF17" s="47"/>
      <c r="AFG17" s="47"/>
      <c r="AFH17" s="47"/>
      <c r="AFI17" s="47"/>
      <c r="AFJ17" s="47"/>
      <c r="AFK17" s="47"/>
      <c r="AFL17" s="47"/>
      <c r="AFM17" s="47"/>
      <c r="AFN17" s="47"/>
      <c r="AFO17" s="47"/>
      <c r="AFP17" s="47"/>
      <c r="AFQ17" s="47"/>
      <c r="AFR17" s="47"/>
      <c r="AFS17" s="47"/>
      <c r="AFT17" s="47"/>
      <c r="AFU17" s="47"/>
      <c r="AFV17" s="47"/>
      <c r="AFW17" s="47"/>
      <c r="AFX17" s="47"/>
      <c r="AFY17" s="47"/>
      <c r="AFZ17" s="47"/>
      <c r="AGA17" s="47"/>
      <c r="AGB17" s="47"/>
      <c r="AGC17" s="47"/>
      <c r="AGD17" s="47"/>
      <c r="AGE17" s="47"/>
      <c r="AGF17" s="47"/>
      <c r="AGG17" s="47"/>
      <c r="AGH17" s="47"/>
      <c r="AGI17" s="47"/>
      <c r="AGJ17" s="47"/>
      <c r="AGK17" s="47"/>
      <c r="AGL17" s="47"/>
      <c r="AGM17" s="47"/>
      <c r="AGN17" s="47"/>
      <c r="AGO17" s="47"/>
      <c r="AGP17" s="47"/>
      <c r="AGQ17" s="47"/>
      <c r="AGR17" s="47"/>
      <c r="AGS17" s="47"/>
      <c r="AGT17" s="47"/>
      <c r="AGU17" s="47"/>
      <c r="AGV17" s="47"/>
      <c r="AGW17" s="47"/>
      <c r="AGX17" s="47"/>
      <c r="AGY17" s="47"/>
      <c r="AGZ17" s="47"/>
      <c r="AHA17" s="47"/>
      <c r="AHB17" s="47"/>
      <c r="AHC17" s="47"/>
      <c r="AHD17" s="47"/>
      <c r="AHE17" s="47"/>
      <c r="AHF17" s="47"/>
      <c r="AHG17" s="47"/>
      <c r="AHH17" s="47"/>
      <c r="AHI17" s="47"/>
      <c r="AHJ17" s="47"/>
      <c r="AHK17" s="47"/>
      <c r="AHL17" s="47"/>
      <c r="AHM17" s="47"/>
      <c r="AHN17" s="47"/>
      <c r="AHO17" s="47"/>
      <c r="AHP17" s="47"/>
      <c r="AHQ17" s="47"/>
      <c r="AHR17" s="47"/>
      <c r="AHS17" s="47"/>
      <c r="AHT17" s="47"/>
      <c r="AHU17" s="47"/>
      <c r="AHV17" s="47"/>
      <c r="AHW17" s="47"/>
      <c r="AHX17" s="47"/>
      <c r="AHY17" s="47"/>
      <c r="AHZ17" s="47"/>
      <c r="AIA17" s="47"/>
      <c r="AIB17" s="47"/>
      <c r="AIC17" s="47"/>
      <c r="AID17" s="47"/>
      <c r="AIE17" s="47"/>
      <c r="AIF17" s="47"/>
      <c r="AIG17" s="47"/>
      <c r="AIH17" s="47"/>
      <c r="AII17" s="47"/>
      <c r="AIJ17" s="47"/>
      <c r="AIK17" s="47"/>
      <c r="AIL17" s="47"/>
      <c r="AIM17" s="47"/>
      <c r="AIN17" s="47"/>
      <c r="AIO17" s="47"/>
      <c r="AIP17" s="47"/>
      <c r="AIQ17" s="47"/>
      <c r="AIR17" s="47"/>
      <c r="AIS17" s="47"/>
      <c r="AIT17" s="47"/>
      <c r="AIU17" s="47"/>
      <c r="AIV17" s="47"/>
      <c r="AIW17" s="47"/>
      <c r="AIX17" s="47"/>
      <c r="AIY17" s="47"/>
      <c r="AIZ17" s="47"/>
      <c r="AJA17" s="47"/>
      <c r="AJB17" s="47"/>
      <c r="AJC17" s="47"/>
      <c r="AJD17" s="47"/>
      <c r="AJE17" s="47"/>
      <c r="AJF17" s="47"/>
      <c r="AJG17" s="47"/>
      <c r="AJH17" s="47"/>
      <c r="AJI17" s="47"/>
      <c r="AJJ17" s="47"/>
      <c r="AJK17" s="47"/>
      <c r="AJL17" s="47"/>
      <c r="AJM17" s="47"/>
      <c r="AJN17" s="47"/>
      <c r="AJO17" s="47"/>
      <c r="AJP17" s="47"/>
      <c r="AJQ17" s="47"/>
      <c r="AJR17" s="47"/>
      <c r="AJS17" s="47"/>
      <c r="AJT17" s="47"/>
      <c r="AJU17" s="47"/>
      <c r="AJV17" s="47"/>
      <c r="AJW17" s="47"/>
      <c r="AJX17" s="47"/>
      <c r="AJY17" s="47"/>
      <c r="AJZ17" s="47"/>
      <c r="AKA17" s="47"/>
      <c r="AKB17" s="47"/>
      <c r="AKC17" s="47"/>
      <c r="AKD17" s="47"/>
      <c r="AKE17" s="47"/>
      <c r="AKF17" s="47"/>
      <c r="AKG17" s="47"/>
      <c r="AKH17" s="47"/>
      <c r="AKI17" s="47"/>
      <c r="AKJ17" s="47"/>
      <c r="AKK17" s="47"/>
      <c r="AKL17" s="47"/>
      <c r="AKM17" s="47"/>
      <c r="AKN17" s="47"/>
      <c r="AKO17" s="47"/>
      <c r="AKP17" s="47"/>
      <c r="AKQ17" s="47"/>
      <c r="AKR17" s="47"/>
      <c r="AKS17" s="47"/>
      <c r="AKT17" s="47"/>
      <c r="AKU17" s="47"/>
      <c r="AKV17" s="47"/>
      <c r="AKW17" s="47"/>
      <c r="AKX17" s="47"/>
      <c r="AKY17" s="47"/>
      <c r="AKZ17" s="47"/>
      <c r="ALA17" s="47"/>
      <c r="ALB17" s="47"/>
      <c r="ALC17" s="47"/>
      <c r="ALD17" s="47"/>
      <c r="ALE17" s="47"/>
      <c r="ALF17" s="47"/>
      <c r="ALG17" s="47"/>
      <c r="ALH17" s="47"/>
      <c r="ALI17" s="47"/>
      <c r="ALJ17" s="47"/>
      <c r="ALK17" s="47"/>
      <c r="ALL17" s="47"/>
      <c r="ALM17" s="47"/>
      <c r="ALN17" s="47"/>
      <c r="ALO17" s="47"/>
      <c r="ALP17" s="47"/>
      <c r="ALQ17" s="47"/>
      <c r="ALR17" s="47"/>
      <c r="ALS17" s="47"/>
      <c r="ALT17" s="47"/>
      <c r="ALU17" s="47"/>
      <c r="ALV17" s="47"/>
      <c r="ALW17" s="47"/>
      <c r="ALX17" s="47"/>
      <c r="ALY17" s="47"/>
      <c r="ALZ17" s="47"/>
      <c r="AMA17" s="47"/>
      <c r="AMB17" s="47"/>
      <c r="AMC17" s="47"/>
      <c r="AMD17" s="47"/>
      <c r="AME17" s="47"/>
      <c r="AMF17" s="47"/>
      <c r="AMG17" s="47"/>
      <c r="AMH17" s="47"/>
      <c r="AMI17" s="47"/>
      <c r="AMJ17" s="47"/>
    </row>
    <row r="18" spans="1:1024" s="85" customFormat="1" ht="11.25" customHeight="1" x14ac:dyDescent="0.3">
      <c r="A18" s="38" t="s">
        <v>140</v>
      </c>
      <c r="B18" s="38" t="s">
        <v>108</v>
      </c>
      <c r="C18" s="57" t="s">
        <v>154</v>
      </c>
      <c r="D18" s="46"/>
      <c r="E18" s="46">
        <v>45680</v>
      </c>
      <c r="F18" s="46">
        <v>45680</v>
      </c>
      <c r="G18" s="38" t="s">
        <v>376</v>
      </c>
      <c r="H18" s="39" t="s">
        <v>141</v>
      </c>
      <c r="I18" s="39" t="s">
        <v>113</v>
      </c>
      <c r="J18" s="39" t="s">
        <v>113</v>
      </c>
      <c r="K18" s="57" t="s">
        <v>406</v>
      </c>
      <c r="L18" s="57" t="s">
        <v>407</v>
      </c>
      <c r="M18" s="38" t="s">
        <v>176</v>
      </c>
      <c r="N18" s="57" t="s">
        <v>142</v>
      </c>
      <c r="O18" s="57" t="s">
        <v>238</v>
      </c>
      <c r="P18" s="57" t="s">
        <v>430</v>
      </c>
      <c r="Q18" s="46">
        <v>32526</v>
      </c>
      <c r="R18" s="47"/>
      <c r="S18" s="47"/>
      <c r="T18" s="47"/>
      <c r="U18" s="47"/>
      <c r="V18" s="47" t="s">
        <v>365</v>
      </c>
      <c r="W18" s="46">
        <v>45680</v>
      </c>
      <c r="X18" s="83">
        <v>0.8125</v>
      </c>
      <c r="Y18" s="57" t="s">
        <v>457</v>
      </c>
      <c r="Z18" s="46">
        <v>45680</v>
      </c>
      <c r="AA18" s="47" t="s">
        <v>458</v>
      </c>
      <c r="AB18" s="47" t="s">
        <v>437</v>
      </c>
      <c r="AC18" s="45">
        <v>45681</v>
      </c>
      <c r="AD18" s="87" t="s">
        <v>449</v>
      </c>
      <c r="AE18" s="40" t="s">
        <v>465</v>
      </c>
      <c r="AF18" s="40" t="s">
        <v>128</v>
      </c>
      <c r="AG18" s="47" t="s">
        <v>125</v>
      </c>
      <c r="AH18" s="47" t="s">
        <v>126</v>
      </c>
      <c r="AI18" s="84" t="s">
        <v>123</v>
      </c>
      <c r="AJ18" s="47" t="s">
        <v>124</v>
      </c>
      <c r="AK18" s="58">
        <v>3</v>
      </c>
      <c r="AL18" s="79" t="s">
        <v>143</v>
      </c>
      <c r="AM18" s="86"/>
      <c r="AN18" s="86"/>
      <c r="AO18" s="38"/>
      <c r="AP18" s="47" t="s">
        <v>143</v>
      </c>
      <c r="AQ18" s="79" t="s">
        <v>143</v>
      </c>
      <c r="AR18" s="86"/>
      <c r="AS18" s="86"/>
      <c r="AT18" s="47"/>
      <c r="AU18" s="57" t="s">
        <v>143</v>
      </c>
      <c r="AV18" s="79" t="s">
        <v>143</v>
      </c>
      <c r="AW18" s="86"/>
      <c r="AX18" s="86"/>
      <c r="AY18" s="47"/>
      <c r="AZ18" s="47" t="s">
        <v>143</v>
      </c>
      <c r="BA18" s="38" t="s">
        <v>374</v>
      </c>
      <c r="BB18" s="38" t="s">
        <v>373</v>
      </c>
      <c r="BC18" s="39" t="s">
        <v>374</v>
      </c>
      <c r="BD18" s="41" t="s">
        <v>375</v>
      </c>
      <c r="BE18" s="41">
        <f t="shared" si="0"/>
        <v>45680</v>
      </c>
      <c r="BF18" s="83">
        <v>0.5</v>
      </c>
      <c r="BG18" s="38" t="s">
        <v>374</v>
      </c>
      <c r="BH18" s="38" t="s">
        <v>372</v>
      </c>
      <c r="BI18" s="45" t="s">
        <v>374</v>
      </c>
      <c r="BJ18" s="45" t="s">
        <v>375</v>
      </c>
      <c r="BK18" s="45">
        <v>45679</v>
      </c>
      <c r="BL18" s="83">
        <v>0</v>
      </c>
      <c r="BM18" s="39" t="s">
        <v>143</v>
      </c>
      <c r="BN18" s="41"/>
      <c r="BO18" s="39"/>
      <c r="BP18" s="38"/>
      <c r="BQ18" s="41"/>
      <c r="BR18" s="83"/>
      <c r="BS18" s="41" t="s">
        <v>143</v>
      </c>
      <c r="BT18" s="41"/>
      <c r="BU18" s="41"/>
      <c r="BV18" s="41"/>
      <c r="BW18" s="41"/>
      <c r="BX18" s="83"/>
      <c r="BY18" s="38"/>
      <c r="BZ18" s="47"/>
      <c r="CA18" s="86"/>
      <c r="CB18" s="86"/>
      <c r="CC18" s="47"/>
      <c r="CD18" s="47"/>
      <c r="CE18" s="86"/>
      <c r="CF18" s="86"/>
      <c r="CG18" s="47"/>
      <c r="CH18" s="47"/>
      <c r="CI18" s="47"/>
      <c r="CJ18" s="47"/>
      <c r="CK18" s="47"/>
      <c r="CL18" s="38"/>
      <c r="CM18" s="38"/>
      <c r="CN18" s="38"/>
      <c r="CO18" s="59"/>
      <c r="CP18" s="38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47"/>
      <c r="GO18" s="47"/>
      <c r="GP18" s="47"/>
      <c r="GQ18" s="47"/>
      <c r="GR18" s="47"/>
      <c r="GS18" s="47"/>
      <c r="GT18" s="47"/>
      <c r="GU18" s="47"/>
      <c r="GV18" s="47"/>
      <c r="GW18" s="47"/>
      <c r="GX18" s="47"/>
      <c r="GY18" s="47"/>
      <c r="GZ18" s="47"/>
      <c r="HA18" s="47"/>
      <c r="HB18" s="47"/>
      <c r="HC18" s="47"/>
      <c r="HD18" s="47"/>
      <c r="HE18" s="47"/>
      <c r="HF18" s="47"/>
      <c r="HG18" s="47"/>
      <c r="HH18" s="47"/>
      <c r="HI18" s="47"/>
      <c r="HJ18" s="47"/>
      <c r="HK18" s="47"/>
      <c r="HL18" s="47"/>
      <c r="HM18" s="47"/>
      <c r="HN18" s="47"/>
      <c r="HO18" s="47"/>
      <c r="HP18" s="47"/>
      <c r="HQ18" s="47"/>
      <c r="HR18" s="47"/>
      <c r="HS18" s="47"/>
      <c r="HT18" s="47"/>
      <c r="HU18" s="47"/>
      <c r="HV18" s="47"/>
      <c r="HW18" s="47"/>
      <c r="HX18" s="47"/>
      <c r="HY18" s="47"/>
      <c r="HZ18" s="47"/>
      <c r="IA18" s="47"/>
      <c r="IB18" s="47"/>
      <c r="IC18" s="47"/>
      <c r="ID18" s="47"/>
      <c r="IE18" s="47"/>
      <c r="IF18" s="47"/>
      <c r="IG18" s="47"/>
      <c r="IH18" s="47"/>
      <c r="II18" s="47"/>
      <c r="IJ18" s="47"/>
      <c r="IK18" s="47"/>
      <c r="IL18" s="47"/>
      <c r="IM18" s="47"/>
      <c r="IN18" s="47"/>
      <c r="IO18" s="47"/>
      <c r="IP18" s="47"/>
      <c r="IQ18" s="47"/>
      <c r="IR18" s="47"/>
      <c r="IS18" s="47"/>
      <c r="IT18" s="47"/>
      <c r="IU18" s="47"/>
      <c r="IV18" s="47"/>
      <c r="IW18" s="47"/>
      <c r="IX18" s="47"/>
      <c r="IY18" s="47"/>
      <c r="IZ18" s="47"/>
      <c r="JA18" s="47"/>
      <c r="JB18" s="47"/>
      <c r="JC18" s="47"/>
      <c r="JD18" s="47"/>
      <c r="JE18" s="47"/>
      <c r="JF18" s="47"/>
      <c r="JG18" s="47"/>
      <c r="JH18" s="47"/>
      <c r="JI18" s="47"/>
      <c r="JJ18" s="47"/>
      <c r="JK18" s="47"/>
      <c r="JL18" s="47"/>
      <c r="JM18" s="47"/>
      <c r="JN18" s="47"/>
      <c r="JO18" s="47"/>
      <c r="JP18" s="47"/>
      <c r="JQ18" s="47"/>
      <c r="JR18" s="47"/>
      <c r="JS18" s="47"/>
      <c r="JT18" s="47"/>
      <c r="JU18" s="47"/>
      <c r="JV18" s="47"/>
      <c r="JW18" s="47"/>
      <c r="JX18" s="47"/>
      <c r="JY18" s="47"/>
      <c r="JZ18" s="47"/>
      <c r="KA18" s="47"/>
      <c r="KB18" s="47"/>
      <c r="KC18" s="47"/>
      <c r="KD18" s="47"/>
      <c r="KE18" s="47"/>
      <c r="KF18" s="47"/>
      <c r="KG18" s="47"/>
      <c r="KH18" s="47"/>
      <c r="KI18" s="47"/>
      <c r="KJ18" s="47"/>
      <c r="KK18" s="47"/>
      <c r="KL18" s="47"/>
      <c r="KM18" s="47"/>
      <c r="KN18" s="47"/>
      <c r="KO18" s="47"/>
      <c r="KP18" s="47"/>
      <c r="KQ18" s="47"/>
      <c r="KR18" s="47"/>
      <c r="KS18" s="47"/>
      <c r="KT18" s="47"/>
      <c r="KU18" s="47"/>
      <c r="KV18" s="47"/>
      <c r="KW18" s="47"/>
      <c r="KX18" s="47"/>
      <c r="KY18" s="47"/>
      <c r="KZ18" s="47"/>
      <c r="LA18" s="47"/>
      <c r="LB18" s="47"/>
      <c r="LC18" s="47"/>
      <c r="LD18" s="47"/>
      <c r="LE18" s="47"/>
      <c r="LF18" s="47"/>
      <c r="LG18" s="47"/>
      <c r="LH18" s="47"/>
      <c r="LI18" s="47"/>
      <c r="LJ18" s="47"/>
      <c r="LK18" s="47"/>
      <c r="LL18" s="47"/>
      <c r="LM18" s="47"/>
      <c r="LN18" s="47"/>
      <c r="LO18" s="47"/>
      <c r="LP18" s="47"/>
      <c r="LQ18" s="47"/>
      <c r="LR18" s="47"/>
      <c r="LS18" s="47"/>
      <c r="LT18" s="47"/>
      <c r="LU18" s="47"/>
      <c r="LV18" s="47"/>
      <c r="LW18" s="47"/>
      <c r="LX18" s="47"/>
      <c r="LY18" s="47"/>
      <c r="LZ18" s="47"/>
      <c r="MA18" s="47"/>
      <c r="MB18" s="47"/>
      <c r="MC18" s="47"/>
      <c r="MD18" s="47"/>
      <c r="ME18" s="47"/>
      <c r="MF18" s="47"/>
      <c r="MG18" s="47"/>
      <c r="MH18" s="47"/>
      <c r="MI18" s="47"/>
      <c r="MJ18" s="47"/>
      <c r="MK18" s="47"/>
      <c r="ML18" s="47"/>
      <c r="MM18" s="47"/>
      <c r="MN18" s="47"/>
      <c r="MO18" s="47"/>
      <c r="MP18" s="47"/>
      <c r="MQ18" s="47"/>
      <c r="MR18" s="47"/>
      <c r="MS18" s="47"/>
      <c r="MT18" s="47"/>
      <c r="MU18" s="47"/>
      <c r="MV18" s="47"/>
      <c r="MW18" s="47"/>
      <c r="MX18" s="47"/>
      <c r="MY18" s="47"/>
      <c r="MZ18" s="47"/>
      <c r="NA18" s="47"/>
      <c r="NB18" s="47"/>
      <c r="NC18" s="47"/>
      <c r="ND18" s="47"/>
      <c r="NE18" s="47"/>
      <c r="NF18" s="47"/>
      <c r="NG18" s="47"/>
      <c r="NH18" s="47"/>
      <c r="NI18" s="47"/>
      <c r="NJ18" s="47"/>
      <c r="NK18" s="47"/>
      <c r="NL18" s="47"/>
      <c r="NM18" s="47"/>
      <c r="NN18" s="47"/>
      <c r="NO18" s="47"/>
      <c r="NP18" s="47"/>
      <c r="NQ18" s="47"/>
      <c r="NR18" s="47"/>
      <c r="NS18" s="47"/>
      <c r="NT18" s="47"/>
      <c r="NU18" s="47"/>
      <c r="NV18" s="47"/>
      <c r="NW18" s="47"/>
      <c r="NX18" s="47"/>
      <c r="NY18" s="47"/>
      <c r="NZ18" s="47"/>
      <c r="OA18" s="47"/>
      <c r="OB18" s="47"/>
      <c r="OC18" s="47"/>
      <c r="OD18" s="47"/>
      <c r="OE18" s="47"/>
      <c r="OF18" s="47"/>
      <c r="OG18" s="47"/>
      <c r="OH18" s="47"/>
      <c r="OI18" s="47"/>
      <c r="OJ18" s="47"/>
      <c r="OK18" s="47"/>
      <c r="OL18" s="47"/>
      <c r="OM18" s="47"/>
      <c r="ON18" s="47"/>
      <c r="OO18" s="47"/>
      <c r="OP18" s="47"/>
      <c r="OQ18" s="47"/>
      <c r="OR18" s="47"/>
      <c r="OS18" s="47"/>
      <c r="OT18" s="47"/>
      <c r="OU18" s="47"/>
      <c r="OV18" s="47"/>
      <c r="OW18" s="47"/>
      <c r="OX18" s="47"/>
      <c r="OY18" s="47"/>
      <c r="OZ18" s="47"/>
      <c r="PA18" s="47"/>
      <c r="PB18" s="47"/>
      <c r="PC18" s="47"/>
      <c r="PD18" s="47"/>
      <c r="PE18" s="47"/>
      <c r="PF18" s="47"/>
      <c r="PG18" s="47"/>
      <c r="PH18" s="47"/>
      <c r="PI18" s="47"/>
      <c r="PJ18" s="47"/>
      <c r="PK18" s="47"/>
      <c r="PL18" s="47"/>
      <c r="PM18" s="47"/>
      <c r="PN18" s="47"/>
      <c r="PO18" s="47"/>
      <c r="PP18" s="47"/>
      <c r="PQ18" s="47"/>
      <c r="PR18" s="47"/>
      <c r="PS18" s="47"/>
      <c r="PT18" s="47"/>
      <c r="PU18" s="47"/>
      <c r="PV18" s="47"/>
      <c r="PW18" s="47"/>
      <c r="PX18" s="47"/>
      <c r="PY18" s="47"/>
      <c r="PZ18" s="47"/>
      <c r="QA18" s="47"/>
      <c r="QB18" s="47"/>
      <c r="QC18" s="47"/>
      <c r="QD18" s="47"/>
      <c r="QE18" s="47"/>
      <c r="QF18" s="47"/>
      <c r="QG18" s="47"/>
      <c r="QH18" s="47"/>
      <c r="QI18" s="47"/>
      <c r="QJ18" s="47"/>
      <c r="QK18" s="47"/>
      <c r="QL18" s="47"/>
      <c r="QM18" s="47"/>
      <c r="QN18" s="47"/>
      <c r="QO18" s="47"/>
      <c r="QP18" s="47"/>
      <c r="QQ18" s="47"/>
      <c r="QR18" s="47"/>
      <c r="QS18" s="47"/>
      <c r="QT18" s="47"/>
      <c r="QU18" s="47"/>
      <c r="QV18" s="47"/>
      <c r="QW18" s="47"/>
      <c r="QX18" s="47"/>
      <c r="QY18" s="47"/>
      <c r="QZ18" s="47"/>
      <c r="RA18" s="47"/>
      <c r="RB18" s="47"/>
      <c r="RC18" s="47"/>
      <c r="RD18" s="47"/>
      <c r="RE18" s="47"/>
      <c r="RF18" s="47"/>
      <c r="RG18" s="47"/>
      <c r="RH18" s="47"/>
      <c r="RI18" s="47"/>
      <c r="RJ18" s="47"/>
      <c r="RK18" s="47"/>
      <c r="RL18" s="47"/>
      <c r="RM18" s="47"/>
      <c r="RN18" s="47"/>
      <c r="RO18" s="47"/>
      <c r="RP18" s="47"/>
      <c r="RQ18" s="47"/>
      <c r="RR18" s="47"/>
      <c r="RS18" s="47"/>
      <c r="RT18" s="47"/>
      <c r="RU18" s="47"/>
      <c r="RV18" s="47"/>
      <c r="RW18" s="47"/>
      <c r="RX18" s="47"/>
      <c r="RY18" s="47"/>
      <c r="RZ18" s="47"/>
      <c r="SA18" s="47"/>
      <c r="SB18" s="47"/>
      <c r="SC18" s="47"/>
      <c r="SD18" s="47"/>
      <c r="SE18" s="47"/>
      <c r="SF18" s="47"/>
      <c r="SG18" s="47"/>
      <c r="SH18" s="47"/>
      <c r="SI18" s="47"/>
      <c r="SJ18" s="47"/>
      <c r="SK18" s="47"/>
      <c r="SL18" s="47"/>
      <c r="SM18" s="47"/>
      <c r="SN18" s="47"/>
      <c r="SO18" s="47"/>
      <c r="SP18" s="47"/>
      <c r="SQ18" s="47"/>
      <c r="SR18" s="47"/>
      <c r="SS18" s="47"/>
      <c r="ST18" s="47"/>
      <c r="SU18" s="47"/>
      <c r="SV18" s="47"/>
      <c r="SW18" s="47"/>
      <c r="SX18" s="47"/>
      <c r="SY18" s="47"/>
      <c r="SZ18" s="47"/>
      <c r="TA18" s="47"/>
      <c r="TB18" s="47"/>
      <c r="TC18" s="47"/>
      <c r="TD18" s="47"/>
      <c r="TE18" s="47"/>
      <c r="TF18" s="47"/>
      <c r="TG18" s="47"/>
      <c r="TH18" s="47"/>
      <c r="TI18" s="47"/>
      <c r="TJ18" s="47"/>
      <c r="TK18" s="47"/>
      <c r="TL18" s="47"/>
      <c r="TM18" s="47"/>
      <c r="TN18" s="47"/>
      <c r="TO18" s="47"/>
      <c r="TP18" s="47"/>
      <c r="TQ18" s="47"/>
      <c r="TR18" s="47"/>
      <c r="TS18" s="47"/>
      <c r="TT18" s="47"/>
      <c r="TU18" s="47"/>
      <c r="TV18" s="47"/>
      <c r="TW18" s="47"/>
      <c r="TX18" s="47"/>
      <c r="TY18" s="47"/>
      <c r="TZ18" s="47"/>
      <c r="UA18" s="47"/>
      <c r="UB18" s="47"/>
      <c r="UC18" s="47"/>
      <c r="UD18" s="47"/>
      <c r="UE18" s="47"/>
      <c r="UF18" s="47"/>
      <c r="UG18" s="47"/>
      <c r="UH18" s="47"/>
      <c r="UI18" s="47"/>
      <c r="UJ18" s="47"/>
      <c r="UK18" s="47"/>
      <c r="UL18" s="47"/>
      <c r="UM18" s="47"/>
      <c r="UN18" s="47"/>
      <c r="UO18" s="47"/>
      <c r="UP18" s="47"/>
      <c r="UQ18" s="47"/>
      <c r="UR18" s="47"/>
      <c r="US18" s="47"/>
      <c r="UT18" s="47"/>
      <c r="UU18" s="47"/>
      <c r="UV18" s="47"/>
      <c r="UW18" s="47"/>
      <c r="UX18" s="47"/>
      <c r="UY18" s="47"/>
      <c r="UZ18" s="47"/>
      <c r="VA18" s="47"/>
      <c r="VB18" s="47"/>
      <c r="VC18" s="47"/>
      <c r="VD18" s="47"/>
      <c r="VE18" s="47"/>
      <c r="VF18" s="47"/>
      <c r="VG18" s="47"/>
      <c r="VH18" s="47"/>
      <c r="VI18" s="47"/>
      <c r="VJ18" s="47"/>
      <c r="VK18" s="47"/>
      <c r="VL18" s="47"/>
      <c r="VM18" s="47"/>
      <c r="VN18" s="47"/>
      <c r="VO18" s="47"/>
      <c r="VP18" s="47"/>
      <c r="VQ18" s="47"/>
      <c r="VR18" s="47"/>
      <c r="VS18" s="47"/>
      <c r="VT18" s="47"/>
      <c r="VU18" s="47"/>
      <c r="VV18" s="47"/>
      <c r="VW18" s="47"/>
      <c r="VX18" s="47"/>
      <c r="VY18" s="47"/>
      <c r="VZ18" s="47"/>
      <c r="WA18" s="47"/>
      <c r="WB18" s="47"/>
      <c r="WC18" s="47"/>
      <c r="WD18" s="47"/>
      <c r="WE18" s="47"/>
      <c r="WF18" s="47"/>
      <c r="WG18" s="47"/>
      <c r="WH18" s="47"/>
      <c r="WI18" s="47"/>
      <c r="WJ18" s="47"/>
      <c r="WK18" s="47"/>
      <c r="WL18" s="47"/>
      <c r="WM18" s="47"/>
      <c r="WN18" s="47"/>
      <c r="WO18" s="47"/>
      <c r="WP18" s="47"/>
      <c r="WQ18" s="47"/>
      <c r="WR18" s="47"/>
      <c r="WS18" s="47"/>
      <c r="WT18" s="47"/>
      <c r="WU18" s="47"/>
      <c r="WV18" s="47"/>
      <c r="WW18" s="47"/>
      <c r="WX18" s="47"/>
      <c r="WY18" s="47"/>
      <c r="WZ18" s="47"/>
      <c r="XA18" s="47"/>
      <c r="XB18" s="47"/>
      <c r="XC18" s="47"/>
      <c r="XD18" s="47"/>
      <c r="XE18" s="47"/>
      <c r="XF18" s="47"/>
      <c r="XG18" s="47"/>
      <c r="XH18" s="47"/>
      <c r="XI18" s="47"/>
      <c r="XJ18" s="47"/>
      <c r="XK18" s="47"/>
      <c r="XL18" s="47"/>
      <c r="XM18" s="47"/>
      <c r="XN18" s="47"/>
      <c r="XO18" s="47"/>
      <c r="XP18" s="47"/>
      <c r="XQ18" s="47"/>
      <c r="XR18" s="47"/>
      <c r="XS18" s="47"/>
      <c r="XT18" s="47"/>
      <c r="XU18" s="47"/>
      <c r="XV18" s="47"/>
      <c r="XW18" s="47"/>
      <c r="XX18" s="47"/>
      <c r="XY18" s="47"/>
      <c r="XZ18" s="47"/>
      <c r="YA18" s="47"/>
      <c r="YB18" s="47"/>
      <c r="YC18" s="47"/>
      <c r="YD18" s="47"/>
      <c r="YE18" s="47"/>
      <c r="YF18" s="47"/>
      <c r="YG18" s="47"/>
      <c r="YH18" s="47"/>
      <c r="YI18" s="47"/>
      <c r="YJ18" s="47"/>
      <c r="YK18" s="47"/>
      <c r="YL18" s="47"/>
      <c r="YM18" s="47"/>
      <c r="YN18" s="47"/>
      <c r="YO18" s="47"/>
      <c r="YP18" s="47"/>
      <c r="YQ18" s="47"/>
      <c r="YR18" s="47"/>
      <c r="YS18" s="47"/>
      <c r="YT18" s="47"/>
      <c r="YU18" s="47"/>
      <c r="YV18" s="47"/>
      <c r="YW18" s="47"/>
      <c r="YX18" s="47"/>
      <c r="YY18" s="47"/>
      <c r="YZ18" s="47"/>
      <c r="ZA18" s="47"/>
      <c r="ZB18" s="47"/>
      <c r="ZC18" s="47"/>
      <c r="ZD18" s="47"/>
      <c r="ZE18" s="47"/>
      <c r="ZF18" s="47"/>
      <c r="ZG18" s="47"/>
      <c r="ZH18" s="47"/>
      <c r="ZI18" s="47"/>
      <c r="ZJ18" s="47"/>
      <c r="ZK18" s="47"/>
      <c r="ZL18" s="47"/>
      <c r="ZM18" s="47"/>
      <c r="ZN18" s="47"/>
      <c r="ZO18" s="47"/>
      <c r="ZP18" s="47"/>
      <c r="ZQ18" s="47"/>
      <c r="ZR18" s="47"/>
      <c r="ZS18" s="47"/>
      <c r="ZT18" s="47"/>
      <c r="ZU18" s="47"/>
      <c r="ZV18" s="47"/>
      <c r="ZW18" s="47"/>
      <c r="ZX18" s="47"/>
      <c r="ZY18" s="47"/>
      <c r="ZZ18" s="47"/>
      <c r="AAA18" s="47"/>
      <c r="AAB18" s="47"/>
      <c r="AAC18" s="47"/>
      <c r="AAD18" s="47"/>
      <c r="AAE18" s="47"/>
      <c r="AAF18" s="47"/>
      <c r="AAG18" s="47"/>
      <c r="AAH18" s="47"/>
      <c r="AAI18" s="47"/>
      <c r="AAJ18" s="47"/>
      <c r="AAK18" s="47"/>
      <c r="AAL18" s="47"/>
      <c r="AAM18" s="47"/>
      <c r="AAN18" s="47"/>
      <c r="AAO18" s="47"/>
      <c r="AAP18" s="47"/>
      <c r="AAQ18" s="47"/>
      <c r="AAR18" s="47"/>
      <c r="AAS18" s="47"/>
      <c r="AAT18" s="47"/>
      <c r="AAU18" s="47"/>
      <c r="AAV18" s="47"/>
      <c r="AAW18" s="47"/>
      <c r="AAX18" s="47"/>
      <c r="AAY18" s="47"/>
      <c r="AAZ18" s="47"/>
      <c r="ABA18" s="47"/>
      <c r="ABB18" s="47"/>
      <c r="ABC18" s="47"/>
      <c r="ABD18" s="47"/>
      <c r="ABE18" s="47"/>
      <c r="ABF18" s="47"/>
      <c r="ABG18" s="47"/>
      <c r="ABH18" s="47"/>
      <c r="ABI18" s="47"/>
      <c r="ABJ18" s="47"/>
      <c r="ABK18" s="47"/>
      <c r="ABL18" s="47"/>
      <c r="ABM18" s="47"/>
      <c r="ABN18" s="47"/>
      <c r="ABO18" s="47"/>
      <c r="ABP18" s="47"/>
      <c r="ABQ18" s="47"/>
      <c r="ABR18" s="47"/>
      <c r="ABS18" s="47"/>
      <c r="ABT18" s="47"/>
      <c r="ABU18" s="47"/>
      <c r="ABV18" s="47"/>
      <c r="ABW18" s="47"/>
      <c r="ABX18" s="47"/>
      <c r="ABY18" s="47"/>
      <c r="ABZ18" s="47"/>
      <c r="ACA18" s="47"/>
      <c r="ACB18" s="47"/>
      <c r="ACC18" s="47"/>
      <c r="ACD18" s="47"/>
      <c r="ACE18" s="47"/>
      <c r="ACF18" s="47"/>
      <c r="ACG18" s="47"/>
      <c r="ACH18" s="47"/>
      <c r="ACI18" s="47"/>
      <c r="ACJ18" s="47"/>
      <c r="ACK18" s="47"/>
      <c r="ACL18" s="47"/>
      <c r="ACM18" s="47"/>
      <c r="ACN18" s="47"/>
      <c r="ACO18" s="47"/>
      <c r="ACP18" s="47"/>
      <c r="ACQ18" s="47"/>
      <c r="ACR18" s="47"/>
      <c r="ACS18" s="47"/>
      <c r="ACT18" s="47"/>
      <c r="ACU18" s="47"/>
      <c r="ACV18" s="47"/>
      <c r="ACW18" s="47"/>
      <c r="ACX18" s="47"/>
      <c r="ACY18" s="47"/>
      <c r="ACZ18" s="47"/>
      <c r="ADA18" s="47"/>
      <c r="ADB18" s="47"/>
      <c r="ADC18" s="47"/>
      <c r="ADD18" s="47"/>
      <c r="ADE18" s="47"/>
      <c r="ADF18" s="47"/>
      <c r="ADG18" s="47"/>
      <c r="ADH18" s="47"/>
      <c r="ADI18" s="47"/>
      <c r="ADJ18" s="47"/>
      <c r="ADK18" s="47"/>
      <c r="ADL18" s="47"/>
      <c r="ADM18" s="47"/>
      <c r="ADN18" s="47"/>
      <c r="ADO18" s="47"/>
      <c r="ADP18" s="47"/>
      <c r="ADQ18" s="47"/>
      <c r="ADR18" s="47"/>
      <c r="ADS18" s="47"/>
      <c r="ADT18" s="47"/>
      <c r="ADU18" s="47"/>
      <c r="ADV18" s="47"/>
      <c r="ADW18" s="47"/>
      <c r="ADX18" s="47"/>
      <c r="ADY18" s="47"/>
      <c r="ADZ18" s="47"/>
      <c r="AEA18" s="47"/>
      <c r="AEB18" s="47"/>
      <c r="AEC18" s="47"/>
      <c r="AED18" s="47"/>
      <c r="AEE18" s="47"/>
      <c r="AEF18" s="47"/>
      <c r="AEG18" s="47"/>
      <c r="AEH18" s="47"/>
      <c r="AEI18" s="47"/>
      <c r="AEJ18" s="47"/>
      <c r="AEK18" s="47"/>
      <c r="AEL18" s="47"/>
      <c r="AEM18" s="47"/>
      <c r="AEN18" s="47"/>
      <c r="AEO18" s="47"/>
      <c r="AEP18" s="47"/>
      <c r="AEQ18" s="47"/>
      <c r="AER18" s="47"/>
      <c r="AES18" s="47"/>
      <c r="AET18" s="47"/>
      <c r="AEU18" s="47"/>
      <c r="AEV18" s="47"/>
      <c r="AEW18" s="47"/>
      <c r="AEX18" s="47"/>
      <c r="AEY18" s="47"/>
      <c r="AEZ18" s="47"/>
      <c r="AFA18" s="47"/>
      <c r="AFB18" s="47"/>
      <c r="AFC18" s="47"/>
      <c r="AFD18" s="47"/>
      <c r="AFE18" s="47"/>
      <c r="AFF18" s="47"/>
      <c r="AFG18" s="47"/>
      <c r="AFH18" s="47"/>
      <c r="AFI18" s="47"/>
      <c r="AFJ18" s="47"/>
      <c r="AFK18" s="47"/>
      <c r="AFL18" s="47"/>
      <c r="AFM18" s="47"/>
      <c r="AFN18" s="47"/>
      <c r="AFO18" s="47"/>
      <c r="AFP18" s="47"/>
      <c r="AFQ18" s="47"/>
      <c r="AFR18" s="47"/>
      <c r="AFS18" s="47"/>
      <c r="AFT18" s="47"/>
      <c r="AFU18" s="47"/>
      <c r="AFV18" s="47"/>
      <c r="AFW18" s="47"/>
      <c r="AFX18" s="47"/>
      <c r="AFY18" s="47"/>
      <c r="AFZ18" s="47"/>
      <c r="AGA18" s="47"/>
      <c r="AGB18" s="47"/>
      <c r="AGC18" s="47"/>
      <c r="AGD18" s="47"/>
      <c r="AGE18" s="47"/>
      <c r="AGF18" s="47"/>
      <c r="AGG18" s="47"/>
      <c r="AGH18" s="47"/>
      <c r="AGI18" s="47"/>
      <c r="AGJ18" s="47"/>
      <c r="AGK18" s="47"/>
      <c r="AGL18" s="47"/>
      <c r="AGM18" s="47"/>
      <c r="AGN18" s="47"/>
      <c r="AGO18" s="47"/>
      <c r="AGP18" s="47"/>
      <c r="AGQ18" s="47"/>
      <c r="AGR18" s="47"/>
      <c r="AGS18" s="47"/>
      <c r="AGT18" s="47"/>
      <c r="AGU18" s="47"/>
      <c r="AGV18" s="47"/>
      <c r="AGW18" s="47"/>
      <c r="AGX18" s="47"/>
      <c r="AGY18" s="47"/>
      <c r="AGZ18" s="47"/>
      <c r="AHA18" s="47"/>
      <c r="AHB18" s="47"/>
      <c r="AHC18" s="47"/>
      <c r="AHD18" s="47"/>
      <c r="AHE18" s="47"/>
      <c r="AHF18" s="47"/>
      <c r="AHG18" s="47"/>
      <c r="AHH18" s="47"/>
      <c r="AHI18" s="47"/>
      <c r="AHJ18" s="47"/>
      <c r="AHK18" s="47"/>
      <c r="AHL18" s="47"/>
      <c r="AHM18" s="47"/>
      <c r="AHN18" s="47"/>
      <c r="AHO18" s="47"/>
      <c r="AHP18" s="47"/>
      <c r="AHQ18" s="47"/>
      <c r="AHR18" s="47"/>
      <c r="AHS18" s="47"/>
      <c r="AHT18" s="47"/>
      <c r="AHU18" s="47"/>
      <c r="AHV18" s="47"/>
      <c r="AHW18" s="47"/>
      <c r="AHX18" s="47"/>
      <c r="AHY18" s="47"/>
      <c r="AHZ18" s="47"/>
      <c r="AIA18" s="47"/>
      <c r="AIB18" s="47"/>
      <c r="AIC18" s="47"/>
      <c r="AID18" s="47"/>
      <c r="AIE18" s="47"/>
      <c r="AIF18" s="47"/>
      <c r="AIG18" s="47"/>
      <c r="AIH18" s="47"/>
      <c r="AII18" s="47"/>
      <c r="AIJ18" s="47"/>
      <c r="AIK18" s="47"/>
      <c r="AIL18" s="47"/>
      <c r="AIM18" s="47"/>
      <c r="AIN18" s="47"/>
      <c r="AIO18" s="47"/>
      <c r="AIP18" s="47"/>
      <c r="AIQ18" s="47"/>
      <c r="AIR18" s="47"/>
      <c r="AIS18" s="47"/>
      <c r="AIT18" s="47"/>
      <c r="AIU18" s="47"/>
      <c r="AIV18" s="47"/>
      <c r="AIW18" s="47"/>
      <c r="AIX18" s="47"/>
      <c r="AIY18" s="47"/>
      <c r="AIZ18" s="47"/>
      <c r="AJA18" s="47"/>
      <c r="AJB18" s="47"/>
      <c r="AJC18" s="47"/>
      <c r="AJD18" s="47"/>
      <c r="AJE18" s="47"/>
      <c r="AJF18" s="47"/>
      <c r="AJG18" s="47"/>
      <c r="AJH18" s="47"/>
      <c r="AJI18" s="47"/>
      <c r="AJJ18" s="47"/>
      <c r="AJK18" s="47"/>
      <c r="AJL18" s="47"/>
      <c r="AJM18" s="47"/>
      <c r="AJN18" s="47"/>
      <c r="AJO18" s="47"/>
      <c r="AJP18" s="47"/>
      <c r="AJQ18" s="47"/>
      <c r="AJR18" s="47"/>
      <c r="AJS18" s="47"/>
      <c r="AJT18" s="47"/>
      <c r="AJU18" s="47"/>
      <c r="AJV18" s="47"/>
      <c r="AJW18" s="47"/>
      <c r="AJX18" s="47"/>
      <c r="AJY18" s="47"/>
      <c r="AJZ18" s="47"/>
      <c r="AKA18" s="47"/>
      <c r="AKB18" s="47"/>
      <c r="AKC18" s="47"/>
      <c r="AKD18" s="47"/>
      <c r="AKE18" s="47"/>
      <c r="AKF18" s="47"/>
      <c r="AKG18" s="47"/>
      <c r="AKH18" s="47"/>
      <c r="AKI18" s="47"/>
      <c r="AKJ18" s="47"/>
      <c r="AKK18" s="47"/>
      <c r="AKL18" s="47"/>
      <c r="AKM18" s="47"/>
      <c r="AKN18" s="47"/>
      <c r="AKO18" s="47"/>
      <c r="AKP18" s="47"/>
      <c r="AKQ18" s="47"/>
      <c r="AKR18" s="47"/>
      <c r="AKS18" s="47"/>
      <c r="AKT18" s="47"/>
      <c r="AKU18" s="47"/>
      <c r="AKV18" s="47"/>
      <c r="AKW18" s="47"/>
      <c r="AKX18" s="47"/>
      <c r="AKY18" s="47"/>
      <c r="AKZ18" s="47"/>
      <c r="ALA18" s="47"/>
      <c r="ALB18" s="47"/>
      <c r="ALC18" s="47"/>
      <c r="ALD18" s="47"/>
      <c r="ALE18" s="47"/>
      <c r="ALF18" s="47"/>
      <c r="ALG18" s="47"/>
      <c r="ALH18" s="47"/>
      <c r="ALI18" s="47"/>
      <c r="ALJ18" s="47"/>
      <c r="ALK18" s="47"/>
      <c r="ALL18" s="47"/>
      <c r="ALM18" s="47"/>
      <c r="ALN18" s="47"/>
      <c r="ALO18" s="47"/>
      <c r="ALP18" s="47"/>
      <c r="ALQ18" s="47"/>
      <c r="ALR18" s="47"/>
      <c r="ALS18" s="47"/>
      <c r="ALT18" s="47"/>
      <c r="ALU18" s="47"/>
      <c r="ALV18" s="47"/>
      <c r="ALW18" s="47"/>
      <c r="ALX18" s="47"/>
      <c r="ALY18" s="47"/>
      <c r="ALZ18" s="47"/>
      <c r="AMA18" s="47"/>
      <c r="AMB18" s="47"/>
      <c r="AMC18" s="47"/>
      <c r="AMD18" s="47"/>
      <c r="AME18" s="47"/>
      <c r="AMF18" s="47"/>
      <c r="AMG18" s="47"/>
      <c r="AMH18" s="47"/>
      <c r="AMI18" s="47"/>
      <c r="AMJ18" s="47"/>
    </row>
    <row r="19" spans="1:1024" s="85" customFormat="1" ht="11.25" customHeight="1" x14ac:dyDescent="0.3">
      <c r="A19" s="38" t="s">
        <v>140</v>
      </c>
      <c r="B19" s="38" t="s">
        <v>108</v>
      </c>
      <c r="C19" s="57" t="s">
        <v>154</v>
      </c>
      <c r="D19" s="46"/>
      <c r="E19" s="46">
        <v>45680</v>
      </c>
      <c r="F19" s="46">
        <v>45680</v>
      </c>
      <c r="G19" s="38" t="s">
        <v>376</v>
      </c>
      <c r="H19" s="39" t="s">
        <v>141</v>
      </c>
      <c r="I19" s="39" t="s">
        <v>113</v>
      </c>
      <c r="J19" s="39" t="s">
        <v>113</v>
      </c>
      <c r="K19" s="57" t="s">
        <v>408</v>
      </c>
      <c r="L19" s="57" t="s">
        <v>409</v>
      </c>
      <c r="M19" s="38" t="s">
        <v>176</v>
      </c>
      <c r="N19" s="57" t="s">
        <v>142</v>
      </c>
      <c r="O19" s="89" t="s">
        <v>155</v>
      </c>
      <c r="P19" s="57" t="s">
        <v>431</v>
      </c>
      <c r="Q19" s="46">
        <v>36133</v>
      </c>
      <c r="R19" s="47"/>
      <c r="S19" s="47"/>
      <c r="T19" s="47"/>
      <c r="U19" s="47"/>
      <c r="V19" s="47" t="s">
        <v>365</v>
      </c>
      <c r="W19" s="46">
        <v>45680</v>
      </c>
      <c r="X19" s="83">
        <v>0.8125</v>
      </c>
      <c r="Y19" s="57" t="s">
        <v>457</v>
      </c>
      <c r="Z19" s="46">
        <v>45680</v>
      </c>
      <c r="AA19" s="47" t="s">
        <v>458</v>
      </c>
      <c r="AB19" s="47" t="s">
        <v>437</v>
      </c>
      <c r="AC19" s="45">
        <v>45681</v>
      </c>
      <c r="AD19" s="87" t="s">
        <v>449</v>
      </c>
      <c r="AE19" s="40" t="s">
        <v>465</v>
      </c>
      <c r="AF19" s="40" t="s">
        <v>128</v>
      </c>
      <c r="AG19" s="47" t="s">
        <v>125</v>
      </c>
      <c r="AH19" s="47" t="s">
        <v>126</v>
      </c>
      <c r="AI19" s="84" t="s">
        <v>123</v>
      </c>
      <c r="AJ19" s="47" t="s">
        <v>124</v>
      </c>
      <c r="AK19" s="58">
        <v>3</v>
      </c>
      <c r="AL19" s="79" t="s">
        <v>143</v>
      </c>
      <c r="AM19" s="86"/>
      <c r="AN19" s="86"/>
      <c r="AO19" s="38"/>
      <c r="AP19" s="47" t="s">
        <v>143</v>
      </c>
      <c r="AQ19" s="79" t="s">
        <v>143</v>
      </c>
      <c r="AR19" s="86"/>
      <c r="AS19" s="86"/>
      <c r="AT19" s="47"/>
      <c r="AU19" s="57" t="s">
        <v>143</v>
      </c>
      <c r="AV19" s="79" t="s">
        <v>143</v>
      </c>
      <c r="AW19" s="86"/>
      <c r="AX19" s="86"/>
      <c r="AY19" s="47"/>
      <c r="AZ19" s="47" t="s">
        <v>143</v>
      </c>
      <c r="BA19" s="38" t="s">
        <v>374</v>
      </c>
      <c r="BB19" s="38" t="s">
        <v>373</v>
      </c>
      <c r="BC19" s="39" t="s">
        <v>374</v>
      </c>
      <c r="BD19" s="41" t="s">
        <v>375</v>
      </c>
      <c r="BE19" s="41">
        <f t="shared" si="0"/>
        <v>45680</v>
      </c>
      <c r="BF19" s="83">
        <v>0.54166666666666663</v>
      </c>
      <c r="BG19" s="38" t="s">
        <v>374</v>
      </c>
      <c r="BH19" s="38" t="s">
        <v>372</v>
      </c>
      <c r="BI19" s="45" t="s">
        <v>374</v>
      </c>
      <c r="BJ19" s="45" t="s">
        <v>375</v>
      </c>
      <c r="BK19" s="45">
        <v>45679</v>
      </c>
      <c r="BL19" s="83">
        <v>4.1666666666667899E-2</v>
      </c>
      <c r="BM19" s="39" t="s">
        <v>143</v>
      </c>
      <c r="BN19" s="41"/>
      <c r="BO19" s="39"/>
      <c r="BP19" s="38"/>
      <c r="BQ19" s="41"/>
      <c r="BR19" s="83"/>
      <c r="BS19" s="41" t="s">
        <v>143</v>
      </c>
      <c r="BT19" s="41"/>
      <c r="BU19" s="41"/>
      <c r="BV19" s="41"/>
      <c r="BW19" s="41"/>
      <c r="BX19" s="83"/>
      <c r="BY19" s="38"/>
      <c r="BZ19" s="47"/>
      <c r="CA19" s="86"/>
      <c r="CB19" s="86"/>
      <c r="CC19" s="47"/>
      <c r="CD19" s="47"/>
      <c r="CE19" s="86"/>
      <c r="CF19" s="86"/>
      <c r="CG19" s="47"/>
      <c r="CH19" s="47"/>
      <c r="CI19" s="47"/>
      <c r="CJ19" s="47"/>
      <c r="CK19" s="47"/>
      <c r="CL19" s="38"/>
      <c r="CM19" s="38"/>
      <c r="CN19" s="38"/>
      <c r="CO19" s="59"/>
      <c r="CP19" s="38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  <c r="GL19" s="47"/>
      <c r="GM19" s="47"/>
      <c r="GN19" s="47"/>
      <c r="GO19" s="47"/>
      <c r="GP19" s="47"/>
      <c r="GQ19" s="47"/>
      <c r="GR19" s="47"/>
      <c r="GS19" s="47"/>
      <c r="GT19" s="47"/>
      <c r="GU19" s="47"/>
      <c r="GV19" s="47"/>
      <c r="GW19" s="47"/>
      <c r="GX19" s="47"/>
      <c r="GY19" s="47"/>
      <c r="GZ19" s="47"/>
      <c r="HA19" s="47"/>
      <c r="HB19" s="47"/>
      <c r="HC19" s="47"/>
      <c r="HD19" s="47"/>
      <c r="HE19" s="47"/>
      <c r="HF19" s="47"/>
      <c r="HG19" s="47"/>
      <c r="HH19" s="47"/>
      <c r="HI19" s="47"/>
      <c r="HJ19" s="47"/>
      <c r="HK19" s="47"/>
      <c r="HL19" s="47"/>
      <c r="HM19" s="47"/>
      <c r="HN19" s="47"/>
      <c r="HO19" s="47"/>
      <c r="HP19" s="47"/>
      <c r="HQ19" s="47"/>
      <c r="HR19" s="47"/>
      <c r="HS19" s="47"/>
      <c r="HT19" s="47"/>
      <c r="HU19" s="47"/>
      <c r="HV19" s="47"/>
      <c r="HW19" s="47"/>
      <c r="HX19" s="47"/>
      <c r="HY19" s="47"/>
      <c r="HZ19" s="47"/>
      <c r="IA19" s="47"/>
      <c r="IB19" s="47"/>
      <c r="IC19" s="47"/>
      <c r="ID19" s="47"/>
      <c r="IE19" s="47"/>
      <c r="IF19" s="47"/>
      <c r="IG19" s="47"/>
      <c r="IH19" s="47"/>
      <c r="II19" s="47"/>
      <c r="IJ19" s="47"/>
      <c r="IK19" s="47"/>
      <c r="IL19" s="47"/>
      <c r="IM19" s="47"/>
      <c r="IN19" s="47"/>
      <c r="IO19" s="47"/>
      <c r="IP19" s="47"/>
      <c r="IQ19" s="47"/>
      <c r="IR19" s="47"/>
      <c r="IS19" s="47"/>
      <c r="IT19" s="47"/>
      <c r="IU19" s="47"/>
      <c r="IV19" s="47"/>
      <c r="IW19" s="47"/>
      <c r="IX19" s="47"/>
      <c r="IY19" s="47"/>
      <c r="IZ19" s="47"/>
      <c r="JA19" s="47"/>
      <c r="JB19" s="47"/>
      <c r="JC19" s="47"/>
      <c r="JD19" s="47"/>
      <c r="JE19" s="47"/>
      <c r="JF19" s="47"/>
      <c r="JG19" s="47"/>
      <c r="JH19" s="47"/>
      <c r="JI19" s="47"/>
      <c r="JJ19" s="47"/>
      <c r="JK19" s="47"/>
      <c r="JL19" s="47"/>
      <c r="JM19" s="47"/>
      <c r="JN19" s="47"/>
      <c r="JO19" s="47"/>
      <c r="JP19" s="47"/>
      <c r="JQ19" s="47"/>
      <c r="JR19" s="47"/>
      <c r="JS19" s="47"/>
      <c r="JT19" s="47"/>
      <c r="JU19" s="47"/>
      <c r="JV19" s="47"/>
      <c r="JW19" s="47"/>
      <c r="JX19" s="47"/>
      <c r="JY19" s="47"/>
      <c r="JZ19" s="47"/>
      <c r="KA19" s="47"/>
      <c r="KB19" s="47"/>
      <c r="KC19" s="47"/>
      <c r="KD19" s="47"/>
      <c r="KE19" s="47"/>
      <c r="KF19" s="47"/>
      <c r="KG19" s="47"/>
      <c r="KH19" s="47"/>
      <c r="KI19" s="47"/>
      <c r="KJ19" s="47"/>
      <c r="KK19" s="47"/>
      <c r="KL19" s="47"/>
      <c r="KM19" s="47"/>
      <c r="KN19" s="47"/>
      <c r="KO19" s="47"/>
      <c r="KP19" s="47"/>
      <c r="KQ19" s="47"/>
      <c r="KR19" s="47"/>
      <c r="KS19" s="47"/>
      <c r="KT19" s="47"/>
      <c r="KU19" s="47"/>
      <c r="KV19" s="47"/>
      <c r="KW19" s="47"/>
      <c r="KX19" s="47"/>
      <c r="KY19" s="47"/>
      <c r="KZ19" s="47"/>
      <c r="LA19" s="47"/>
      <c r="LB19" s="47"/>
      <c r="LC19" s="47"/>
      <c r="LD19" s="47"/>
      <c r="LE19" s="47"/>
      <c r="LF19" s="47"/>
      <c r="LG19" s="47"/>
      <c r="LH19" s="47"/>
      <c r="LI19" s="47"/>
      <c r="LJ19" s="47"/>
      <c r="LK19" s="47"/>
      <c r="LL19" s="47"/>
      <c r="LM19" s="47"/>
      <c r="LN19" s="47"/>
      <c r="LO19" s="47"/>
      <c r="LP19" s="47"/>
      <c r="LQ19" s="47"/>
      <c r="LR19" s="47"/>
      <c r="LS19" s="47"/>
      <c r="LT19" s="47"/>
      <c r="LU19" s="47"/>
      <c r="LV19" s="47"/>
      <c r="LW19" s="47"/>
      <c r="LX19" s="47"/>
      <c r="LY19" s="47"/>
      <c r="LZ19" s="47"/>
      <c r="MA19" s="47"/>
      <c r="MB19" s="47"/>
      <c r="MC19" s="47"/>
      <c r="MD19" s="47"/>
      <c r="ME19" s="47"/>
      <c r="MF19" s="47"/>
      <c r="MG19" s="47"/>
      <c r="MH19" s="47"/>
      <c r="MI19" s="47"/>
      <c r="MJ19" s="47"/>
      <c r="MK19" s="47"/>
      <c r="ML19" s="47"/>
      <c r="MM19" s="47"/>
      <c r="MN19" s="47"/>
      <c r="MO19" s="47"/>
      <c r="MP19" s="47"/>
      <c r="MQ19" s="47"/>
      <c r="MR19" s="47"/>
      <c r="MS19" s="47"/>
      <c r="MT19" s="47"/>
      <c r="MU19" s="47"/>
      <c r="MV19" s="47"/>
      <c r="MW19" s="47"/>
      <c r="MX19" s="47"/>
      <c r="MY19" s="47"/>
      <c r="MZ19" s="47"/>
      <c r="NA19" s="47"/>
      <c r="NB19" s="47"/>
      <c r="NC19" s="47"/>
      <c r="ND19" s="47"/>
      <c r="NE19" s="47"/>
      <c r="NF19" s="47"/>
      <c r="NG19" s="47"/>
      <c r="NH19" s="47"/>
      <c r="NI19" s="47"/>
      <c r="NJ19" s="47"/>
      <c r="NK19" s="47"/>
      <c r="NL19" s="47"/>
      <c r="NM19" s="47"/>
      <c r="NN19" s="47"/>
      <c r="NO19" s="47"/>
      <c r="NP19" s="47"/>
      <c r="NQ19" s="47"/>
      <c r="NR19" s="47"/>
      <c r="NS19" s="47"/>
      <c r="NT19" s="47"/>
      <c r="NU19" s="47"/>
      <c r="NV19" s="47"/>
      <c r="NW19" s="47"/>
      <c r="NX19" s="47"/>
      <c r="NY19" s="47"/>
      <c r="NZ19" s="47"/>
      <c r="OA19" s="47"/>
      <c r="OB19" s="47"/>
      <c r="OC19" s="47"/>
      <c r="OD19" s="47"/>
      <c r="OE19" s="47"/>
      <c r="OF19" s="47"/>
      <c r="OG19" s="47"/>
      <c r="OH19" s="47"/>
      <c r="OI19" s="47"/>
      <c r="OJ19" s="47"/>
      <c r="OK19" s="47"/>
      <c r="OL19" s="47"/>
      <c r="OM19" s="47"/>
      <c r="ON19" s="47"/>
      <c r="OO19" s="47"/>
      <c r="OP19" s="47"/>
      <c r="OQ19" s="47"/>
      <c r="OR19" s="47"/>
      <c r="OS19" s="47"/>
      <c r="OT19" s="47"/>
      <c r="OU19" s="47"/>
      <c r="OV19" s="47"/>
      <c r="OW19" s="47"/>
      <c r="OX19" s="47"/>
      <c r="OY19" s="47"/>
      <c r="OZ19" s="47"/>
      <c r="PA19" s="47"/>
      <c r="PB19" s="47"/>
      <c r="PC19" s="47"/>
      <c r="PD19" s="47"/>
      <c r="PE19" s="47"/>
      <c r="PF19" s="47"/>
      <c r="PG19" s="47"/>
      <c r="PH19" s="47"/>
      <c r="PI19" s="47"/>
      <c r="PJ19" s="47"/>
      <c r="PK19" s="47"/>
      <c r="PL19" s="47"/>
      <c r="PM19" s="47"/>
      <c r="PN19" s="47"/>
      <c r="PO19" s="47"/>
      <c r="PP19" s="47"/>
      <c r="PQ19" s="47"/>
      <c r="PR19" s="47"/>
      <c r="PS19" s="47"/>
      <c r="PT19" s="47"/>
      <c r="PU19" s="47"/>
      <c r="PV19" s="47"/>
      <c r="PW19" s="47"/>
      <c r="PX19" s="47"/>
      <c r="PY19" s="47"/>
      <c r="PZ19" s="47"/>
      <c r="QA19" s="47"/>
      <c r="QB19" s="47"/>
      <c r="QC19" s="47"/>
      <c r="QD19" s="47"/>
      <c r="QE19" s="47"/>
      <c r="QF19" s="47"/>
      <c r="QG19" s="47"/>
      <c r="QH19" s="47"/>
      <c r="QI19" s="47"/>
      <c r="QJ19" s="47"/>
      <c r="QK19" s="47"/>
      <c r="QL19" s="47"/>
      <c r="QM19" s="47"/>
      <c r="QN19" s="47"/>
      <c r="QO19" s="47"/>
      <c r="QP19" s="47"/>
      <c r="QQ19" s="47"/>
      <c r="QR19" s="47"/>
      <c r="QS19" s="47"/>
      <c r="QT19" s="47"/>
      <c r="QU19" s="47"/>
      <c r="QV19" s="47"/>
      <c r="QW19" s="47"/>
      <c r="QX19" s="47"/>
      <c r="QY19" s="47"/>
      <c r="QZ19" s="47"/>
      <c r="RA19" s="47"/>
      <c r="RB19" s="47"/>
      <c r="RC19" s="47"/>
      <c r="RD19" s="47"/>
      <c r="RE19" s="47"/>
      <c r="RF19" s="47"/>
      <c r="RG19" s="47"/>
      <c r="RH19" s="47"/>
      <c r="RI19" s="47"/>
      <c r="RJ19" s="47"/>
      <c r="RK19" s="47"/>
      <c r="RL19" s="47"/>
      <c r="RM19" s="47"/>
      <c r="RN19" s="47"/>
      <c r="RO19" s="47"/>
      <c r="RP19" s="47"/>
      <c r="RQ19" s="47"/>
      <c r="RR19" s="47"/>
      <c r="RS19" s="47"/>
      <c r="RT19" s="47"/>
      <c r="RU19" s="47"/>
      <c r="RV19" s="47"/>
      <c r="RW19" s="47"/>
      <c r="RX19" s="47"/>
      <c r="RY19" s="47"/>
      <c r="RZ19" s="47"/>
      <c r="SA19" s="47"/>
      <c r="SB19" s="47"/>
      <c r="SC19" s="47"/>
      <c r="SD19" s="47"/>
      <c r="SE19" s="47"/>
      <c r="SF19" s="47"/>
      <c r="SG19" s="47"/>
      <c r="SH19" s="47"/>
      <c r="SI19" s="47"/>
      <c r="SJ19" s="47"/>
      <c r="SK19" s="47"/>
      <c r="SL19" s="47"/>
      <c r="SM19" s="47"/>
      <c r="SN19" s="47"/>
      <c r="SO19" s="47"/>
      <c r="SP19" s="47"/>
      <c r="SQ19" s="47"/>
      <c r="SR19" s="47"/>
      <c r="SS19" s="47"/>
      <c r="ST19" s="47"/>
      <c r="SU19" s="47"/>
      <c r="SV19" s="47"/>
      <c r="SW19" s="47"/>
      <c r="SX19" s="47"/>
      <c r="SY19" s="47"/>
      <c r="SZ19" s="47"/>
      <c r="TA19" s="47"/>
      <c r="TB19" s="47"/>
      <c r="TC19" s="47"/>
      <c r="TD19" s="47"/>
      <c r="TE19" s="47"/>
      <c r="TF19" s="47"/>
      <c r="TG19" s="47"/>
      <c r="TH19" s="47"/>
      <c r="TI19" s="47"/>
      <c r="TJ19" s="47"/>
      <c r="TK19" s="47"/>
      <c r="TL19" s="47"/>
      <c r="TM19" s="47"/>
      <c r="TN19" s="47"/>
      <c r="TO19" s="47"/>
      <c r="TP19" s="47"/>
      <c r="TQ19" s="47"/>
      <c r="TR19" s="47"/>
      <c r="TS19" s="47"/>
      <c r="TT19" s="47"/>
      <c r="TU19" s="47"/>
      <c r="TV19" s="47"/>
      <c r="TW19" s="47"/>
      <c r="TX19" s="47"/>
      <c r="TY19" s="47"/>
      <c r="TZ19" s="47"/>
      <c r="UA19" s="47"/>
      <c r="UB19" s="47"/>
      <c r="UC19" s="47"/>
      <c r="UD19" s="47"/>
      <c r="UE19" s="47"/>
      <c r="UF19" s="47"/>
      <c r="UG19" s="47"/>
      <c r="UH19" s="47"/>
      <c r="UI19" s="47"/>
      <c r="UJ19" s="47"/>
      <c r="UK19" s="47"/>
      <c r="UL19" s="47"/>
      <c r="UM19" s="47"/>
      <c r="UN19" s="47"/>
      <c r="UO19" s="47"/>
      <c r="UP19" s="47"/>
      <c r="UQ19" s="47"/>
      <c r="UR19" s="47"/>
      <c r="US19" s="47"/>
      <c r="UT19" s="47"/>
      <c r="UU19" s="47"/>
      <c r="UV19" s="47"/>
      <c r="UW19" s="47"/>
      <c r="UX19" s="47"/>
      <c r="UY19" s="47"/>
      <c r="UZ19" s="47"/>
      <c r="VA19" s="47"/>
      <c r="VB19" s="47"/>
      <c r="VC19" s="47"/>
      <c r="VD19" s="47"/>
      <c r="VE19" s="47"/>
      <c r="VF19" s="47"/>
      <c r="VG19" s="47"/>
      <c r="VH19" s="47"/>
      <c r="VI19" s="47"/>
      <c r="VJ19" s="47"/>
      <c r="VK19" s="47"/>
      <c r="VL19" s="47"/>
      <c r="VM19" s="47"/>
      <c r="VN19" s="47"/>
      <c r="VO19" s="47"/>
      <c r="VP19" s="47"/>
      <c r="VQ19" s="47"/>
      <c r="VR19" s="47"/>
      <c r="VS19" s="47"/>
      <c r="VT19" s="47"/>
      <c r="VU19" s="47"/>
      <c r="VV19" s="47"/>
      <c r="VW19" s="47"/>
      <c r="VX19" s="47"/>
      <c r="VY19" s="47"/>
      <c r="VZ19" s="47"/>
      <c r="WA19" s="47"/>
      <c r="WB19" s="47"/>
      <c r="WC19" s="47"/>
      <c r="WD19" s="47"/>
      <c r="WE19" s="47"/>
      <c r="WF19" s="47"/>
      <c r="WG19" s="47"/>
      <c r="WH19" s="47"/>
      <c r="WI19" s="47"/>
      <c r="WJ19" s="47"/>
      <c r="WK19" s="47"/>
      <c r="WL19" s="47"/>
      <c r="WM19" s="47"/>
      <c r="WN19" s="47"/>
      <c r="WO19" s="47"/>
      <c r="WP19" s="47"/>
      <c r="WQ19" s="47"/>
      <c r="WR19" s="47"/>
      <c r="WS19" s="47"/>
      <c r="WT19" s="47"/>
      <c r="WU19" s="47"/>
      <c r="WV19" s="47"/>
      <c r="WW19" s="47"/>
      <c r="WX19" s="47"/>
      <c r="WY19" s="47"/>
      <c r="WZ19" s="47"/>
      <c r="XA19" s="47"/>
      <c r="XB19" s="47"/>
      <c r="XC19" s="47"/>
      <c r="XD19" s="47"/>
      <c r="XE19" s="47"/>
      <c r="XF19" s="47"/>
      <c r="XG19" s="47"/>
      <c r="XH19" s="47"/>
      <c r="XI19" s="47"/>
      <c r="XJ19" s="47"/>
      <c r="XK19" s="47"/>
      <c r="XL19" s="47"/>
      <c r="XM19" s="47"/>
      <c r="XN19" s="47"/>
      <c r="XO19" s="47"/>
      <c r="XP19" s="47"/>
      <c r="XQ19" s="47"/>
      <c r="XR19" s="47"/>
      <c r="XS19" s="47"/>
      <c r="XT19" s="47"/>
      <c r="XU19" s="47"/>
      <c r="XV19" s="47"/>
      <c r="XW19" s="47"/>
      <c r="XX19" s="47"/>
      <c r="XY19" s="47"/>
      <c r="XZ19" s="47"/>
      <c r="YA19" s="47"/>
      <c r="YB19" s="47"/>
      <c r="YC19" s="47"/>
      <c r="YD19" s="47"/>
      <c r="YE19" s="47"/>
      <c r="YF19" s="47"/>
      <c r="YG19" s="47"/>
      <c r="YH19" s="47"/>
      <c r="YI19" s="47"/>
      <c r="YJ19" s="47"/>
      <c r="YK19" s="47"/>
      <c r="YL19" s="47"/>
      <c r="YM19" s="47"/>
      <c r="YN19" s="47"/>
      <c r="YO19" s="47"/>
      <c r="YP19" s="47"/>
      <c r="YQ19" s="47"/>
      <c r="YR19" s="47"/>
      <c r="YS19" s="47"/>
      <c r="YT19" s="47"/>
      <c r="YU19" s="47"/>
      <c r="YV19" s="47"/>
      <c r="YW19" s="47"/>
      <c r="YX19" s="47"/>
      <c r="YY19" s="47"/>
      <c r="YZ19" s="47"/>
      <c r="ZA19" s="47"/>
      <c r="ZB19" s="47"/>
      <c r="ZC19" s="47"/>
      <c r="ZD19" s="47"/>
      <c r="ZE19" s="47"/>
      <c r="ZF19" s="47"/>
      <c r="ZG19" s="47"/>
      <c r="ZH19" s="47"/>
      <c r="ZI19" s="47"/>
      <c r="ZJ19" s="47"/>
      <c r="ZK19" s="47"/>
      <c r="ZL19" s="47"/>
      <c r="ZM19" s="47"/>
      <c r="ZN19" s="47"/>
      <c r="ZO19" s="47"/>
      <c r="ZP19" s="47"/>
      <c r="ZQ19" s="47"/>
      <c r="ZR19" s="47"/>
      <c r="ZS19" s="47"/>
      <c r="ZT19" s="47"/>
      <c r="ZU19" s="47"/>
      <c r="ZV19" s="47"/>
      <c r="ZW19" s="47"/>
      <c r="ZX19" s="47"/>
      <c r="ZY19" s="47"/>
      <c r="ZZ19" s="47"/>
      <c r="AAA19" s="47"/>
      <c r="AAB19" s="47"/>
      <c r="AAC19" s="47"/>
      <c r="AAD19" s="47"/>
      <c r="AAE19" s="47"/>
      <c r="AAF19" s="47"/>
      <c r="AAG19" s="47"/>
      <c r="AAH19" s="47"/>
      <c r="AAI19" s="47"/>
      <c r="AAJ19" s="47"/>
      <c r="AAK19" s="47"/>
      <c r="AAL19" s="47"/>
      <c r="AAM19" s="47"/>
      <c r="AAN19" s="47"/>
      <c r="AAO19" s="47"/>
      <c r="AAP19" s="47"/>
      <c r="AAQ19" s="47"/>
      <c r="AAR19" s="47"/>
      <c r="AAS19" s="47"/>
      <c r="AAT19" s="47"/>
      <c r="AAU19" s="47"/>
      <c r="AAV19" s="47"/>
      <c r="AAW19" s="47"/>
      <c r="AAX19" s="47"/>
      <c r="AAY19" s="47"/>
      <c r="AAZ19" s="47"/>
      <c r="ABA19" s="47"/>
      <c r="ABB19" s="47"/>
      <c r="ABC19" s="47"/>
      <c r="ABD19" s="47"/>
      <c r="ABE19" s="47"/>
      <c r="ABF19" s="47"/>
      <c r="ABG19" s="47"/>
      <c r="ABH19" s="47"/>
      <c r="ABI19" s="47"/>
      <c r="ABJ19" s="47"/>
      <c r="ABK19" s="47"/>
      <c r="ABL19" s="47"/>
      <c r="ABM19" s="47"/>
      <c r="ABN19" s="47"/>
      <c r="ABO19" s="47"/>
      <c r="ABP19" s="47"/>
      <c r="ABQ19" s="47"/>
      <c r="ABR19" s="47"/>
      <c r="ABS19" s="47"/>
      <c r="ABT19" s="47"/>
      <c r="ABU19" s="47"/>
      <c r="ABV19" s="47"/>
      <c r="ABW19" s="47"/>
      <c r="ABX19" s="47"/>
      <c r="ABY19" s="47"/>
      <c r="ABZ19" s="47"/>
      <c r="ACA19" s="47"/>
      <c r="ACB19" s="47"/>
      <c r="ACC19" s="47"/>
      <c r="ACD19" s="47"/>
      <c r="ACE19" s="47"/>
      <c r="ACF19" s="47"/>
      <c r="ACG19" s="47"/>
      <c r="ACH19" s="47"/>
      <c r="ACI19" s="47"/>
      <c r="ACJ19" s="47"/>
      <c r="ACK19" s="47"/>
      <c r="ACL19" s="47"/>
      <c r="ACM19" s="47"/>
      <c r="ACN19" s="47"/>
      <c r="ACO19" s="47"/>
      <c r="ACP19" s="47"/>
      <c r="ACQ19" s="47"/>
      <c r="ACR19" s="47"/>
      <c r="ACS19" s="47"/>
      <c r="ACT19" s="47"/>
      <c r="ACU19" s="47"/>
      <c r="ACV19" s="47"/>
      <c r="ACW19" s="47"/>
      <c r="ACX19" s="47"/>
      <c r="ACY19" s="47"/>
      <c r="ACZ19" s="47"/>
      <c r="ADA19" s="47"/>
      <c r="ADB19" s="47"/>
      <c r="ADC19" s="47"/>
      <c r="ADD19" s="47"/>
      <c r="ADE19" s="47"/>
      <c r="ADF19" s="47"/>
      <c r="ADG19" s="47"/>
      <c r="ADH19" s="47"/>
      <c r="ADI19" s="47"/>
      <c r="ADJ19" s="47"/>
      <c r="ADK19" s="47"/>
      <c r="ADL19" s="47"/>
      <c r="ADM19" s="47"/>
      <c r="ADN19" s="47"/>
      <c r="ADO19" s="47"/>
      <c r="ADP19" s="47"/>
      <c r="ADQ19" s="47"/>
      <c r="ADR19" s="47"/>
      <c r="ADS19" s="47"/>
      <c r="ADT19" s="47"/>
      <c r="ADU19" s="47"/>
      <c r="ADV19" s="47"/>
      <c r="ADW19" s="47"/>
      <c r="ADX19" s="47"/>
      <c r="ADY19" s="47"/>
      <c r="ADZ19" s="47"/>
      <c r="AEA19" s="47"/>
      <c r="AEB19" s="47"/>
      <c r="AEC19" s="47"/>
      <c r="AED19" s="47"/>
      <c r="AEE19" s="47"/>
      <c r="AEF19" s="47"/>
      <c r="AEG19" s="47"/>
      <c r="AEH19" s="47"/>
      <c r="AEI19" s="47"/>
      <c r="AEJ19" s="47"/>
      <c r="AEK19" s="47"/>
      <c r="AEL19" s="47"/>
      <c r="AEM19" s="47"/>
      <c r="AEN19" s="47"/>
      <c r="AEO19" s="47"/>
      <c r="AEP19" s="47"/>
      <c r="AEQ19" s="47"/>
      <c r="AER19" s="47"/>
      <c r="AES19" s="47"/>
      <c r="AET19" s="47"/>
      <c r="AEU19" s="47"/>
      <c r="AEV19" s="47"/>
      <c r="AEW19" s="47"/>
      <c r="AEX19" s="47"/>
      <c r="AEY19" s="47"/>
      <c r="AEZ19" s="47"/>
      <c r="AFA19" s="47"/>
      <c r="AFB19" s="47"/>
      <c r="AFC19" s="47"/>
      <c r="AFD19" s="47"/>
      <c r="AFE19" s="47"/>
      <c r="AFF19" s="47"/>
      <c r="AFG19" s="47"/>
      <c r="AFH19" s="47"/>
      <c r="AFI19" s="47"/>
      <c r="AFJ19" s="47"/>
      <c r="AFK19" s="47"/>
      <c r="AFL19" s="47"/>
      <c r="AFM19" s="47"/>
      <c r="AFN19" s="47"/>
      <c r="AFO19" s="47"/>
      <c r="AFP19" s="47"/>
      <c r="AFQ19" s="47"/>
      <c r="AFR19" s="47"/>
      <c r="AFS19" s="47"/>
      <c r="AFT19" s="47"/>
      <c r="AFU19" s="47"/>
      <c r="AFV19" s="47"/>
      <c r="AFW19" s="47"/>
      <c r="AFX19" s="47"/>
      <c r="AFY19" s="47"/>
      <c r="AFZ19" s="47"/>
      <c r="AGA19" s="47"/>
      <c r="AGB19" s="47"/>
      <c r="AGC19" s="47"/>
      <c r="AGD19" s="47"/>
      <c r="AGE19" s="47"/>
      <c r="AGF19" s="47"/>
      <c r="AGG19" s="47"/>
      <c r="AGH19" s="47"/>
      <c r="AGI19" s="47"/>
      <c r="AGJ19" s="47"/>
      <c r="AGK19" s="47"/>
      <c r="AGL19" s="47"/>
      <c r="AGM19" s="47"/>
      <c r="AGN19" s="47"/>
      <c r="AGO19" s="47"/>
      <c r="AGP19" s="47"/>
      <c r="AGQ19" s="47"/>
      <c r="AGR19" s="47"/>
      <c r="AGS19" s="47"/>
      <c r="AGT19" s="47"/>
      <c r="AGU19" s="47"/>
      <c r="AGV19" s="47"/>
      <c r="AGW19" s="47"/>
      <c r="AGX19" s="47"/>
      <c r="AGY19" s="47"/>
      <c r="AGZ19" s="47"/>
      <c r="AHA19" s="47"/>
      <c r="AHB19" s="47"/>
      <c r="AHC19" s="47"/>
      <c r="AHD19" s="47"/>
      <c r="AHE19" s="47"/>
      <c r="AHF19" s="47"/>
      <c r="AHG19" s="47"/>
      <c r="AHH19" s="47"/>
      <c r="AHI19" s="47"/>
      <c r="AHJ19" s="47"/>
      <c r="AHK19" s="47"/>
      <c r="AHL19" s="47"/>
      <c r="AHM19" s="47"/>
      <c r="AHN19" s="47"/>
      <c r="AHO19" s="47"/>
      <c r="AHP19" s="47"/>
      <c r="AHQ19" s="47"/>
      <c r="AHR19" s="47"/>
      <c r="AHS19" s="47"/>
      <c r="AHT19" s="47"/>
      <c r="AHU19" s="47"/>
      <c r="AHV19" s="47"/>
      <c r="AHW19" s="47"/>
      <c r="AHX19" s="47"/>
      <c r="AHY19" s="47"/>
      <c r="AHZ19" s="47"/>
      <c r="AIA19" s="47"/>
      <c r="AIB19" s="47"/>
      <c r="AIC19" s="47"/>
      <c r="AID19" s="47"/>
      <c r="AIE19" s="47"/>
      <c r="AIF19" s="47"/>
      <c r="AIG19" s="47"/>
      <c r="AIH19" s="47"/>
      <c r="AII19" s="47"/>
      <c r="AIJ19" s="47"/>
      <c r="AIK19" s="47"/>
      <c r="AIL19" s="47"/>
      <c r="AIM19" s="47"/>
      <c r="AIN19" s="47"/>
      <c r="AIO19" s="47"/>
      <c r="AIP19" s="47"/>
      <c r="AIQ19" s="47"/>
      <c r="AIR19" s="47"/>
      <c r="AIS19" s="47"/>
      <c r="AIT19" s="47"/>
      <c r="AIU19" s="47"/>
      <c r="AIV19" s="47"/>
      <c r="AIW19" s="47"/>
      <c r="AIX19" s="47"/>
      <c r="AIY19" s="47"/>
      <c r="AIZ19" s="47"/>
      <c r="AJA19" s="47"/>
      <c r="AJB19" s="47"/>
      <c r="AJC19" s="47"/>
      <c r="AJD19" s="47"/>
      <c r="AJE19" s="47"/>
      <c r="AJF19" s="47"/>
      <c r="AJG19" s="47"/>
      <c r="AJH19" s="47"/>
      <c r="AJI19" s="47"/>
      <c r="AJJ19" s="47"/>
      <c r="AJK19" s="47"/>
      <c r="AJL19" s="47"/>
      <c r="AJM19" s="47"/>
      <c r="AJN19" s="47"/>
      <c r="AJO19" s="47"/>
      <c r="AJP19" s="47"/>
      <c r="AJQ19" s="47"/>
      <c r="AJR19" s="47"/>
      <c r="AJS19" s="47"/>
      <c r="AJT19" s="47"/>
      <c r="AJU19" s="47"/>
      <c r="AJV19" s="47"/>
      <c r="AJW19" s="47"/>
      <c r="AJX19" s="47"/>
      <c r="AJY19" s="47"/>
      <c r="AJZ19" s="47"/>
      <c r="AKA19" s="47"/>
      <c r="AKB19" s="47"/>
      <c r="AKC19" s="47"/>
      <c r="AKD19" s="47"/>
      <c r="AKE19" s="47"/>
      <c r="AKF19" s="47"/>
      <c r="AKG19" s="47"/>
      <c r="AKH19" s="47"/>
      <c r="AKI19" s="47"/>
      <c r="AKJ19" s="47"/>
      <c r="AKK19" s="47"/>
      <c r="AKL19" s="47"/>
      <c r="AKM19" s="47"/>
      <c r="AKN19" s="47"/>
      <c r="AKO19" s="47"/>
      <c r="AKP19" s="47"/>
      <c r="AKQ19" s="47"/>
      <c r="AKR19" s="47"/>
      <c r="AKS19" s="47"/>
      <c r="AKT19" s="47"/>
      <c r="AKU19" s="47"/>
      <c r="AKV19" s="47"/>
      <c r="AKW19" s="47"/>
      <c r="AKX19" s="47"/>
      <c r="AKY19" s="47"/>
      <c r="AKZ19" s="47"/>
      <c r="ALA19" s="47"/>
      <c r="ALB19" s="47"/>
      <c r="ALC19" s="47"/>
      <c r="ALD19" s="47"/>
      <c r="ALE19" s="47"/>
      <c r="ALF19" s="47"/>
      <c r="ALG19" s="47"/>
      <c r="ALH19" s="47"/>
      <c r="ALI19" s="47"/>
      <c r="ALJ19" s="47"/>
      <c r="ALK19" s="47"/>
      <c r="ALL19" s="47"/>
      <c r="ALM19" s="47"/>
      <c r="ALN19" s="47"/>
      <c r="ALO19" s="47"/>
      <c r="ALP19" s="47"/>
      <c r="ALQ19" s="47"/>
      <c r="ALR19" s="47"/>
      <c r="ALS19" s="47"/>
      <c r="ALT19" s="47"/>
      <c r="ALU19" s="47"/>
      <c r="ALV19" s="47"/>
      <c r="ALW19" s="47"/>
      <c r="ALX19" s="47"/>
      <c r="ALY19" s="47"/>
      <c r="ALZ19" s="47"/>
      <c r="AMA19" s="47"/>
      <c r="AMB19" s="47"/>
      <c r="AMC19" s="47"/>
      <c r="AMD19" s="47"/>
      <c r="AME19" s="47"/>
      <c r="AMF19" s="47"/>
      <c r="AMG19" s="47"/>
      <c r="AMH19" s="47"/>
      <c r="AMI19" s="47"/>
      <c r="AMJ19" s="47"/>
    </row>
    <row r="20" spans="1:1024" s="85" customFormat="1" ht="11.25" customHeight="1" x14ac:dyDescent="0.3">
      <c r="A20" s="38" t="s">
        <v>140</v>
      </c>
      <c r="B20" s="38" t="s">
        <v>108</v>
      </c>
      <c r="C20" s="57" t="s">
        <v>154</v>
      </c>
      <c r="D20" s="46"/>
      <c r="E20" s="46">
        <v>45680</v>
      </c>
      <c r="F20" s="46">
        <v>45680</v>
      </c>
      <c r="G20" s="38" t="s">
        <v>376</v>
      </c>
      <c r="H20" s="39" t="s">
        <v>141</v>
      </c>
      <c r="I20" s="39" t="s">
        <v>113</v>
      </c>
      <c r="J20" s="39" t="s">
        <v>113</v>
      </c>
      <c r="K20" s="57" t="s">
        <v>410</v>
      </c>
      <c r="L20" s="57" t="s">
        <v>379</v>
      </c>
      <c r="M20" s="38" t="s">
        <v>176</v>
      </c>
      <c r="N20" s="57" t="s">
        <v>142</v>
      </c>
      <c r="O20" s="89" t="s">
        <v>147</v>
      </c>
      <c r="P20" s="57" t="s">
        <v>432</v>
      </c>
      <c r="Q20" s="46">
        <v>30126</v>
      </c>
      <c r="R20" s="47"/>
      <c r="S20" s="47"/>
      <c r="T20" s="47"/>
      <c r="U20" s="47"/>
      <c r="V20" s="47" t="s">
        <v>365</v>
      </c>
      <c r="W20" s="46">
        <v>45680</v>
      </c>
      <c r="X20" s="83">
        <v>0.8125</v>
      </c>
      <c r="Y20" s="57" t="s">
        <v>457</v>
      </c>
      <c r="Z20" s="46">
        <v>45680</v>
      </c>
      <c r="AA20" s="47" t="s">
        <v>458</v>
      </c>
      <c r="AB20" s="47" t="s">
        <v>437</v>
      </c>
      <c r="AC20" s="45">
        <v>45681</v>
      </c>
      <c r="AD20" s="87" t="s">
        <v>449</v>
      </c>
      <c r="AE20" s="40" t="s">
        <v>465</v>
      </c>
      <c r="AF20" s="40" t="s">
        <v>128</v>
      </c>
      <c r="AG20" s="47" t="s">
        <v>125</v>
      </c>
      <c r="AH20" s="47" t="s">
        <v>126</v>
      </c>
      <c r="AI20" s="84" t="s">
        <v>123</v>
      </c>
      <c r="AJ20" s="47" t="s">
        <v>124</v>
      </c>
      <c r="AK20" s="58">
        <v>3</v>
      </c>
      <c r="AL20" s="79" t="s">
        <v>143</v>
      </c>
      <c r="AM20" s="86"/>
      <c r="AN20" s="86"/>
      <c r="AO20" s="38"/>
      <c r="AP20" s="47" t="s">
        <v>143</v>
      </c>
      <c r="AQ20" s="79" t="s">
        <v>143</v>
      </c>
      <c r="AR20" s="86"/>
      <c r="AS20" s="86"/>
      <c r="AT20" s="47"/>
      <c r="AU20" s="57" t="s">
        <v>143</v>
      </c>
      <c r="AV20" s="79" t="s">
        <v>143</v>
      </c>
      <c r="AW20" s="86"/>
      <c r="AX20" s="86"/>
      <c r="AY20" s="47"/>
      <c r="AZ20" s="47" t="s">
        <v>143</v>
      </c>
      <c r="BA20" s="38" t="s">
        <v>374</v>
      </c>
      <c r="BB20" s="38" t="s">
        <v>373</v>
      </c>
      <c r="BC20" s="39" t="s">
        <v>374</v>
      </c>
      <c r="BD20" s="41" t="s">
        <v>375</v>
      </c>
      <c r="BE20" s="41">
        <f t="shared" si="0"/>
        <v>45680</v>
      </c>
      <c r="BF20" s="83">
        <v>0.58333333333333337</v>
      </c>
      <c r="BG20" s="38" t="s">
        <v>374</v>
      </c>
      <c r="BH20" s="38" t="s">
        <v>372</v>
      </c>
      <c r="BI20" s="45" t="s">
        <v>374</v>
      </c>
      <c r="BJ20" s="45" t="s">
        <v>375</v>
      </c>
      <c r="BK20" s="45">
        <v>45679</v>
      </c>
      <c r="BL20" s="83">
        <v>8.3333333333333898E-2</v>
      </c>
      <c r="BM20" s="39" t="s">
        <v>143</v>
      </c>
      <c r="BN20" s="41"/>
      <c r="BO20" s="39"/>
      <c r="BP20" s="38"/>
      <c r="BQ20" s="41"/>
      <c r="BR20" s="83"/>
      <c r="BS20" s="41" t="s">
        <v>143</v>
      </c>
      <c r="BT20" s="41"/>
      <c r="BU20" s="41"/>
      <c r="BV20" s="41"/>
      <c r="BW20" s="41"/>
      <c r="BX20" s="83"/>
      <c r="BY20" s="38"/>
      <c r="BZ20" s="47"/>
      <c r="CA20" s="86"/>
      <c r="CB20" s="86"/>
      <c r="CC20" s="47"/>
      <c r="CD20" s="47"/>
      <c r="CE20" s="86"/>
      <c r="CF20" s="86"/>
      <c r="CG20" s="47"/>
      <c r="CH20" s="47"/>
      <c r="CI20" s="47"/>
      <c r="CJ20" s="47"/>
      <c r="CK20" s="47"/>
      <c r="CL20" s="38"/>
      <c r="CM20" s="38"/>
      <c r="CN20" s="38"/>
      <c r="CO20" s="59"/>
      <c r="CP20" s="38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  <c r="GL20" s="47"/>
      <c r="GM20" s="47"/>
      <c r="GN20" s="47"/>
      <c r="GO20" s="47"/>
      <c r="GP20" s="47"/>
      <c r="GQ20" s="47"/>
      <c r="GR20" s="47"/>
      <c r="GS20" s="47"/>
      <c r="GT20" s="47"/>
      <c r="GU20" s="47"/>
      <c r="GV20" s="47"/>
      <c r="GW20" s="47"/>
      <c r="GX20" s="47"/>
      <c r="GY20" s="47"/>
      <c r="GZ20" s="47"/>
      <c r="HA20" s="47"/>
      <c r="HB20" s="47"/>
      <c r="HC20" s="47"/>
      <c r="HD20" s="47"/>
      <c r="HE20" s="47"/>
      <c r="HF20" s="47"/>
      <c r="HG20" s="47"/>
      <c r="HH20" s="47"/>
      <c r="HI20" s="47"/>
      <c r="HJ20" s="47"/>
      <c r="HK20" s="47"/>
      <c r="HL20" s="47"/>
      <c r="HM20" s="47"/>
      <c r="HN20" s="47"/>
      <c r="HO20" s="47"/>
      <c r="HP20" s="47"/>
      <c r="HQ20" s="47"/>
      <c r="HR20" s="47"/>
      <c r="HS20" s="47"/>
      <c r="HT20" s="47"/>
      <c r="HU20" s="47"/>
      <c r="HV20" s="47"/>
      <c r="HW20" s="47"/>
      <c r="HX20" s="47"/>
      <c r="HY20" s="47"/>
      <c r="HZ20" s="47"/>
      <c r="IA20" s="47"/>
      <c r="IB20" s="47"/>
      <c r="IC20" s="47"/>
      <c r="ID20" s="47"/>
      <c r="IE20" s="47"/>
      <c r="IF20" s="47"/>
      <c r="IG20" s="47"/>
      <c r="IH20" s="47"/>
      <c r="II20" s="47"/>
      <c r="IJ20" s="47"/>
      <c r="IK20" s="47"/>
      <c r="IL20" s="47"/>
      <c r="IM20" s="47"/>
      <c r="IN20" s="47"/>
      <c r="IO20" s="47"/>
      <c r="IP20" s="47"/>
      <c r="IQ20" s="47"/>
      <c r="IR20" s="47"/>
      <c r="IS20" s="47"/>
      <c r="IT20" s="47"/>
      <c r="IU20" s="47"/>
      <c r="IV20" s="47"/>
      <c r="IW20" s="47"/>
      <c r="IX20" s="47"/>
      <c r="IY20" s="47"/>
      <c r="IZ20" s="47"/>
      <c r="JA20" s="47"/>
      <c r="JB20" s="47"/>
      <c r="JC20" s="47"/>
      <c r="JD20" s="47"/>
      <c r="JE20" s="47"/>
      <c r="JF20" s="47"/>
      <c r="JG20" s="47"/>
      <c r="JH20" s="47"/>
      <c r="JI20" s="47"/>
      <c r="JJ20" s="47"/>
      <c r="JK20" s="47"/>
      <c r="JL20" s="47"/>
      <c r="JM20" s="47"/>
      <c r="JN20" s="47"/>
      <c r="JO20" s="47"/>
      <c r="JP20" s="47"/>
      <c r="JQ20" s="47"/>
      <c r="JR20" s="47"/>
      <c r="JS20" s="47"/>
      <c r="JT20" s="47"/>
      <c r="JU20" s="47"/>
      <c r="JV20" s="47"/>
      <c r="JW20" s="47"/>
      <c r="JX20" s="47"/>
      <c r="JY20" s="47"/>
      <c r="JZ20" s="47"/>
      <c r="KA20" s="47"/>
      <c r="KB20" s="47"/>
      <c r="KC20" s="47"/>
      <c r="KD20" s="47"/>
      <c r="KE20" s="47"/>
      <c r="KF20" s="47"/>
      <c r="KG20" s="47"/>
      <c r="KH20" s="47"/>
      <c r="KI20" s="47"/>
      <c r="KJ20" s="47"/>
      <c r="KK20" s="47"/>
      <c r="KL20" s="47"/>
      <c r="KM20" s="47"/>
      <c r="KN20" s="47"/>
      <c r="KO20" s="47"/>
      <c r="KP20" s="47"/>
      <c r="KQ20" s="47"/>
      <c r="KR20" s="47"/>
      <c r="KS20" s="47"/>
      <c r="KT20" s="47"/>
      <c r="KU20" s="47"/>
      <c r="KV20" s="47"/>
      <c r="KW20" s="47"/>
      <c r="KX20" s="47"/>
      <c r="KY20" s="47"/>
      <c r="KZ20" s="47"/>
      <c r="LA20" s="47"/>
      <c r="LB20" s="47"/>
      <c r="LC20" s="47"/>
      <c r="LD20" s="47"/>
      <c r="LE20" s="47"/>
      <c r="LF20" s="47"/>
      <c r="LG20" s="47"/>
      <c r="LH20" s="47"/>
      <c r="LI20" s="47"/>
      <c r="LJ20" s="47"/>
      <c r="LK20" s="47"/>
      <c r="LL20" s="47"/>
      <c r="LM20" s="47"/>
      <c r="LN20" s="47"/>
      <c r="LO20" s="47"/>
      <c r="LP20" s="47"/>
      <c r="LQ20" s="47"/>
      <c r="LR20" s="47"/>
      <c r="LS20" s="47"/>
      <c r="LT20" s="47"/>
      <c r="LU20" s="47"/>
      <c r="LV20" s="47"/>
      <c r="LW20" s="47"/>
      <c r="LX20" s="47"/>
      <c r="LY20" s="47"/>
      <c r="LZ20" s="47"/>
      <c r="MA20" s="47"/>
      <c r="MB20" s="47"/>
      <c r="MC20" s="47"/>
      <c r="MD20" s="47"/>
      <c r="ME20" s="47"/>
      <c r="MF20" s="47"/>
      <c r="MG20" s="47"/>
      <c r="MH20" s="47"/>
      <c r="MI20" s="47"/>
      <c r="MJ20" s="47"/>
      <c r="MK20" s="47"/>
      <c r="ML20" s="47"/>
      <c r="MM20" s="47"/>
      <c r="MN20" s="47"/>
      <c r="MO20" s="47"/>
      <c r="MP20" s="47"/>
      <c r="MQ20" s="47"/>
      <c r="MR20" s="47"/>
      <c r="MS20" s="47"/>
      <c r="MT20" s="47"/>
      <c r="MU20" s="47"/>
      <c r="MV20" s="47"/>
      <c r="MW20" s="47"/>
      <c r="MX20" s="47"/>
      <c r="MY20" s="47"/>
      <c r="MZ20" s="47"/>
      <c r="NA20" s="47"/>
      <c r="NB20" s="47"/>
      <c r="NC20" s="47"/>
      <c r="ND20" s="47"/>
      <c r="NE20" s="47"/>
      <c r="NF20" s="47"/>
      <c r="NG20" s="47"/>
      <c r="NH20" s="47"/>
      <c r="NI20" s="47"/>
      <c r="NJ20" s="47"/>
      <c r="NK20" s="47"/>
      <c r="NL20" s="47"/>
      <c r="NM20" s="47"/>
      <c r="NN20" s="47"/>
      <c r="NO20" s="47"/>
      <c r="NP20" s="47"/>
      <c r="NQ20" s="47"/>
      <c r="NR20" s="47"/>
      <c r="NS20" s="47"/>
      <c r="NT20" s="47"/>
      <c r="NU20" s="47"/>
      <c r="NV20" s="47"/>
      <c r="NW20" s="47"/>
      <c r="NX20" s="47"/>
      <c r="NY20" s="47"/>
      <c r="NZ20" s="47"/>
      <c r="OA20" s="47"/>
      <c r="OB20" s="47"/>
      <c r="OC20" s="47"/>
      <c r="OD20" s="47"/>
      <c r="OE20" s="47"/>
      <c r="OF20" s="47"/>
      <c r="OG20" s="47"/>
      <c r="OH20" s="47"/>
      <c r="OI20" s="47"/>
      <c r="OJ20" s="47"/>
      <c r="OK20" s="47"/>
      <c r="OL20" s="47"/>
      <c r="OM20" s="47"/>
      <c r="ON20" s="47"/>
      <c r="OO20" s="47"/>
      <c r="OP20" s="47"/>
      <c r="OQ20" s="47"/>
      <c r="OR20" s="47"/>
      <c r="OS20" s="47"/>
      <c r="OT20" s="47"/>
      <c r="OU20" s="47"/>
      <c r="OV20" s="47"/>
      <c r="OW20" s="47"/>
      <c r="OX20" s="47"/>
      <c r="OY20" s="47"/>
      <c r="OZ20" s="47"/>
      <c r="PA20" s="47"/>
      <c r="PB20" s="47"/>
      <c r="PC20" s="47"/>
      <c r="PD20" s="47"/>
      <c r="PE20" s="47"/>
      <c r="PF20" s="47"/>
      <c r="PG20" s="47"/>
      <c r="PH20" s="47"/>
      <c r="PI20" s="47"/>
      <c r="PJ20" s="47"/>
      <c r="PK20" s="47"/>
      <c r="PL20" s="47"/>
      <c r="PM20" s="47"/>
      <c r="PN20" s="47"/>
      <c r="PO20" s="47"/>
      <c r="PP20" s="47"/>
      <c r="PQ20" s="47"/>
      <c r="PR20" s="47"/>
      <c r="PS20" s="47"/>
      <c r="PT20" s="47"/>
      <c r="PU20" s="47"/>
      <c r="PV20" s="47"/>
      <c r="PW20" s="47"/>
      <c r="PX20" s="47"/>
      <c r="PY20" s="47"/>
      <c r="PZ20" s="47"/>
      <c r="QA20" s="47"/>
      <c r="QB20" s="47"/>
      <c r="QC20" s="47"/>
      <c r="QD20" s="47"/>
      <c r="QE20" s="47"/>
      <c r="QF20" s="47"/>
      <c r="QG20" s="47"/>
      <c r="QH20" s="47"/>
      <c r="QI20" s="47"/>
      <c r="QJ20" s="47"/>
      <c r="QK20" s="47"/>
      <c r="QL20" s="47"/>
      <c r="QM20" s="47"/>
      <c r="QN20" s="47"/>
      <c r="QO20" s="47"/>
      <c r="QP20" s="47"/>
      <c r="QQ20" s="47"/>
      <c r="QR20" s="47"/>
      <c r="QS20" s="47"/>
      <c r="QT20" s="47"/>
      <c r="QU20" s="47"/>
      <c r="QV20" s="47"/>
      <c r="QW20" s="47"/>
      <c r="QX20" s="47"/>
      <c r="QY20" s="47"/>
      <c r="QZ20" s="47"/>
      <c r="RA20" s="47"/>
      <c r="RB20" s="47"/>
      <c r="RC20" s="47"/>
      <c r="RD20" s="47"/>
      <c r="RE20" s="47"/>
      <c r="RF20" s="47"/>
      <c r="RG20" s="47"/>
      <c r="RH20" s="47"/>
      <c r="RI20" s="47"/>
      <c r="RJ20" s="47"/>
      <c r="RK20" s="47"/>
      <c r="RL20" s="47"/>
      <c r="RM20" s="47"/>
      <c r="RN20" s="47"/>
      <c r="RO20" s="47"/>
      <c r="RP20" s="47"/>
      <c r="RQ20" s="47"/>
      <c r="RR20" s="47"/>
      <c r="RS20" s="47"/>
      <c r="RT20" s="47"/>
      <c r="RU20" s="47"/>
      <c r="RV20" s="47"/>
      <c r="RW20" s="47"/>
      <c r="RX20" s="47"/>
      <c r="RY20" s="47"/>
      <c r="RZ20" s="47"/>
      <c r="SA20" s="47"/>
      <c r="SB20" s="47"/>
      <c r="SC20" s="47"/>
      <c r="SD20" s="47"/>
      <c r="SE20" s="47"/>
      <c r="SF20" s="47"/>
      <c r="SG20" s="47"/>
      <c r="SH20" s="47"/>
      <c r="SI20" s="47"/>
      <c r="SJ20" s="47"/>
      <c r="SK20" s="47"/>
      <c r="SL20" s="47"/>
      <c r="SM20" s="47"/>
      <c r="SN20" s="47"/>
      <c r="SO20" s="47"/>
      <c r="SP20" s="47"/>
      <c r="SQ20" s="47"/>
      <c r="SR20" s="47"/>
      <c r="SS20" s="47"/>
      <c r="ST20" s="47"/>
      <c r="SU20" s="47"/>
      <c r="SV20" s="47"/>
      <c r="SW20" s="47"/>
      <c r="SX20" s="47"/>
      <c r="SY20" s="47"/>
      <c r="SZ20" s="47"/>
      <c r="TA20" s="47"/>
      <c r="TB20" s="47"/>
      <c r="TC20" s="47"/>
      <c r="TD20" s="47"/>
      <c r="TE20" s="47"/>
      <c r="TF20" s="47"/>
      <c r="TG20" s="47"/>
      <c r="TH20" s="47"/>
      <c r="TI20" s="47"/>
      <c r="TJ20" s="47"/>
      <c r="TK20" s="47"/>
      <c r="TL20" s="47"/>
      <c r="TM20" s="47"/>
      <c r="TN20" s="47"/>
      <c r="TO20" s="47"/>
      <c r="TP20" s="47"/>
      <c r="TQ20" s="47"/>
      <c r="TR20" s="47"/>
      <c r="TS20" s="47"/>
      <c r="TT20" s="47"/>
      <c r="TU20" s="47"/>
      <c r="TV20" s="47"/>
      <c r="TW20" s="47"/>
      <c r="TX20" s="47"/>
      <c r="TY20" s="47"/>
      <c r="TZ20" s="47"/>
      <c r="UA20" s="47"/>
      <c r="UB20" s="47"/>
      <c r="UC20" s="47"/>
      <c r="UD20" s="47"/>
      <c r="UE20" s="47"/>
      <c r="UF20" s="47"/>
      <c r="UG20" s="47"/>
      <c r="UH20" s="47"/>
      <c r="UI20" s="47"/>
      <c r="UJ20" s="47"/>
      <c r="UK20" s="47"/>
      <c r="UL20" s="47"/>
      <c r="UM20" s="47"/>
      <c r="UN20" s="47"/>
      <c r="UO20" s="47"/>
      <c r="UP20" s="47"/>
      <c r="UQ20" s="47"/>
      <c r="UR20" s="47"/>
      <c r="US20" s="47"/>
      <c r="UT20" s="47"/>
      <c r="UU20" s="47"/>
      <c r="UV20" s="47"/>
      <c r="UW20" s="47"/>
      <c r="UX20" s="47"/>
      <c r="UY20" s="47"/>
      <c r="UZ20" s="47"/>
      <c r="VA20" s="47"/>
      <c r="VB20" s="47"/>
      <c r="VC20" s="47"/>
      <c r="VD20" s="47"/>
      <c r="VE20" s="47"/>
      <c r="VF20" s="47"/>
      <c r="VG20" s="47"/>
      <c r="VH20" s="47"/>
      <c r="VI20" s="47"/>
      <c r="VJ20" s="47"/>
      <c r="VK20" s="47"/>
      <c r="VL20" s="47"/>
      <c r="VM20" s="47"/>
      <c r="VN20" s="47"/>
      <c r="VO20" s="47"/>
      <c r="VP20" s="47"/>
      <c r="VQ20" s="47"/>
      <c r="VR20" s="47"/>
      <c r="VS20" s="47"/>
      <c r="VT20" s="47"/>
      <c r="VU20" s="47"/>
      <c r="VV20" s="47"/>
      <c r="VW20" s="47"/>
      <c r="VX20" s="47"/>
      <c r="VY20" s="47"/>
      <c r="VZ20" s="47"/>
      <c r="WA20" s="47"/>
      <c r="WB20" s="47"/>
      <c r="WC20" s="47"/>
      <c r="WD20" s="47"/>
      <c r="WE20" s="47"/>
      <c r="WF20" s="47"/>
      <c r="WG20" s="47"/>
      <c r="WH20" s="47"/>
      <c r="WI20" s="47"/>
      <c r="WJ20" s="47"/>
      <c r="WK20" s="47"/>
      <c r="WL20" s="47"/>
      <c r="WM20" s="47"/>
      <c r="WN20" s="47"/>
      <c r="WO20" s="47"/>
      <c r="WP20" s="47"/>
      <c r="WQ20" s="47"/>
      <c r="WR20" s="47"/>
      <c r="WS20" s="47"/>
      <c r="WT20" s="47"/>
      <c r="WU20" s="47"/>
      <c r="WV20" s="47"/>
      <c r="WW20" s="47"/>
      <c r="WX20" s="47"/>
      <c r="WY20" s="47"/>
      <c r="WZ20" s="47"/>
      <c r="XA20" s="47"/>
      <c r="XB20" s="47"/>
      <c r="XC20" s="47"/>
      <c r="XD20" s="47"/>
      <c r="XE20" s="47"/>
      <c r="XF20" s="47"/>
      <c r="XG20" s="47"/>
      <c r="XH20" s="47"/>
      <c r="XI20" s="47"/>
      <c r="XJ20" s="47"/>
      <c r="XK20" s="47"/>
      <c r="XL20" s="47"/>
      <c r="XM20" s="47"/>
      <c r="XN20" s="47"/>
      <c r="XO20" s="47"/>
      <c r="XP20" s="47"/>
      <c r="XQ20" s="47"/>
      <c r="XR20" s="47"/>
      <c r="XS20" s="47"/>
      <c r="XT20" s="47"/>
      <c r="XU20" s="47"/>
      <c r="XV20" s="47"/>
      <c r="XW20" s="47"/>
      <c r="XX20" s="47"/>
      <c r="XY20" s="47"/>
      <c r="XZ20" s="47"/>
      <c r="YA20" s="47"/>
      <c r="YB20" s="47"/>
      <c r="YC20" s="47"/>
      <c r="YD20" s="47"/>
      <c r="YE20" s="47"/>
      <c r="YF20" s="47"/>
      <c r="YG20" s="47"/>
      <c r="YH20" s="47"/>
      <c r="YI20" s="47"/>
      <c r="YJ20" s="47"/>
      <c r="YK20" s="47"/>
      <c r="YL20" s="47"/>
      <c r="YM20" s="47"/>
      <c r="YN20" s="47"/>
      <c r="YO20" s="47"/>
      <c r="YP20" s="47"/>
      <c r="YQ20" s="47"/>
      <c r="YR20" s="47"/>
      <c r="YS20" s="47"/>
      <c r="YT20" s="47"/>
      <c r="YU20" s="47"/>
      <c r="YV20" s="47"/>
      <c r="YW20" s="47"/>
      <c r="YX20" s="47"/>
      <c r="YY20" s="47"/>
      <c r="YZ20" s="47"/>
      <c r="ZA20" s="47"/>
      <c r="ZB20" s="47"/>
      <c r="ZC20" s="47"/>
      <c r="ZD20" s="47"/>
      <c r="ZE20" s="47"/>
      <c r="ZF20" s="47"/>
      <c r="ZG20" s="47"/>
      <c r="ZH20" s="47"/>
      <c r="ZI20" s="47"/>
      <c r="ZJ20" s="47"/>
      <c r="ZK20" s="47"/>
      <c r="ZL20" s="47"/>
      <c r="ZM20" s="47"/>
      <c r="ZN20" s="47"/>
      <c r="ZO20" s="47"/>
      <c r="ZP20" s="47"/>
      <c r="ZQ20" s="47"/>
      <c r="ZR20" s="47"/>
      <c r="ZS20" s="47"/>
      <c r="ZT20" s="47"/>
      <c r="ZU20" s="47"/>
      <c r="ZV20" s="47"/>
      <c r="ZW20" s="47"/>
      <c r="ZX20" s="47"/>
      <c r="ZY20" s="47"/>
      <c r="ZZ20" s="47"/>
      <c r="AAA20" s="47"/>
      <c r="AAB20" s="47"/>
      <c r="AAC20" s="47"/>
      <c r="AAD20" s="47"/>
      <c r="AAE20" s="47"/>
      <c r="AAF20" s="47"/>
      <c r="AAG20" s="47"/>
      <c r="AAH20" s="47"/>
      <c r="AAI20" s="47"/>
      <c r="AAJ20" s="47"/>
      <c r="AAK20" s="47"/>
      <c r="AAL20" s="47"/>
      <c r="AAM20" s="47"/>
      <c r="AAN20" s="47"/>
      <c r="AAO20" s="47"/>
      <c r="AAP20" s="47"/>
      <c r="AAQ20" s="47"/>
      <c r="AAR20" s="47"/>
      <c r="AAS20" s="47"/>
      <c r="AAT20" s="47"/>
      <c r="AAU20" s="47"/>
      <c r="AAV20" s="47"/>
      <c r="AAW20" s="47"/>
      <c r="AAX20" s="47"/>
      <c r="AAY20" s="47"/>
      <c r="AAZ20" s="47"/>
      <c r="ABA20" s="47"/>
      <c r="ABB20" s="47"/>
      <c r="ABC20" s="47"/>
      <c r="ABD20" s="47"/>
      <c r="ABE20" s="47"/>
      <c r="ABF20" s="47"/>
      <c r="ABG20" s="47"/>
      <c r="ABH20" s="47"/>
      <c r="ABI20" s="47"/>
      <c r="ABJ20" s="47"/>
      <c r="ABK20" s="47"/>
      <c r="ABL20" s="47"/>
      <c r="ABM20" s="47"/>
      <c r="ABN20" s="47"/>
      <c r="ABO20" s="47"/>
      <c r="ABP20" s="47"/>
      <c r="ABQ20" s="47"/>
      <c r="ABR20" s="47"/>
      <c r="ABS20" s="47"/>
      <c r="ABT20" s="47"/>
      <c r="ABU20" s="47"/>
      <c r="ABV20" s="47"/>
      <c r="ABW20" s="47"/>
      <c r="ABX20" s="47"/>
      <c r="ABY20" s="47"/>
      <c r="ABZ20" s="47"/>
      <c r="ACA20" s="47"/>
      <c r="ACB20" s="47"/>
      <c r="ACC20" s="47"/>
      <c r="ACD20" s="47"/>
      <c r="ACE20" s="47"/>
      <c r="ACF20" s="47"/>
      <c r="ACG20" s="47"/>
      <c r="ACH20" s="47"/>
      <c r="ACI20" s="47"/>
      <c r="ACJ20" s="47"/>
      <c r="ACK20" s="47"/>
      <c r="ACL20" s="47"/>
      <c r="ACM20" s="47"/>
      <c r="ACN20" s="47"/>
      <c r="ACO20" s="47"/>
      <c r="ACP20" s="47"/>
      <c r="ACQ20" s="47"/>
      <c r="ACR20" s="47"/>
      <c r="ACS20" s="47"/>
      <c r="ACT20" s="47"/>
      <c r="ACU20" s="47"/>
      <c r="ACV20" s="47"/>
      <c r="ACW20" s="47"/>
      <c r="ACX20" s="47"/>
      <c r="ACY20" s="47"/>
      <c r="ACZ20" s="47"/>
      <c r="ADA20" s="47"/>
      <c r="ADB20" s="47"/>
      <c r="ADC20" s="47"/>
      <c r="ADD20" s="47"/>
      <c r="ADE20" s="47"/>
      <c r="ADF20" s="47"/>
      <c r="ADG20" s="47"/>
      <c r="ADH20" s="47"/>
      <c r="ADI20" s="47"/>
      <c r="ADJ20" s="47"/>
      <c r="ADK20" s="47"/>
      <c r="ADL20" s="47"/>
      <c r="ADM20" s="47"/>
      <c r="ADN20" s="47"/>
      <c r="ADO20" s="47"/>
      <c r="ADP20" s="47"/>
      <c r="ADQ20" s="47"/>
      <c r="ADR20" s="47"/>
      <c r="ADS20" s="47"/>
      <c r="ADT20" s="47"/>
      <c r="ADU20" s="47"/>
      <c r="ADV20" s="47"/>
      <c r="ADW20" s="47"/>
      <c r="ADX20" s="47"/>
      <c r="ADY20" s="47"/>
      <c r="ADZ20" s="47"/>
      <c r="AEA20" s="47"/>
      <c r="AEB20" s="47"/>
      <c r="AEC20" s="47"/>
      <c r="AED20" s="47"/>
      <c r="AEE20" s="47"/>
      <c r="AEF20" s="47"/>
      <c r="AEG20" s="47"/>
      <c r="AEH20" s="47"/>
      <c r="AEI20" s="47"/>
      <c r="AEJ20" s="47"/>
      <c r="AEK20" s="47"/>
      <c r="AEL20" s="47"/>
      <c r="AEM20" s="47"/>
      <c r="AEN20" s="47"/>
      <c r="AEO20" s="47"/>
      <c r="AEP20" s="47"/>
      <c r="AEQ20" s="47"/>
      <c r="AER20" s="47"/>
      <c r="AES20" s="47"/>
      <c r="AET20" s="47"/>
      <c r="AEU20" s="47"/>
      <c r="AEV20" s="47"/>
      <c r="AEW20" s="47"/>
      <c r="AEX20" s="47"/>
      <c r="AEY20" s="47"/>
      <c r="AEZ20" s="47"/>
      <c r="AFA20" s="47"/>
      <c r="AFB20" s="47"/>
      <c r="AFC20" s="47"/>
      <c r="AFD20" s="47"/>
      <c r="AFE20" s="47"/>
      <c r="AFF20" s="47"/>
      <c r="AFG20" s="47"/>
      <c r="AFH20" s="47"/>
      <c r="AFI20" s="47"/>
      <c r="AFJ20" s="47"/>
      <c r="AFK20" s="47"/>
      <c r="AFL20" s="47"/>
      <c r="AFM20" s="47"/>
      <c r="AFN20" s="47"/>
      <c r="AFO20" s="47"/>
      <c r="AFP20" s="47"/>
      <c r="AFQ20" s="47"/>
      <c r="AFR20" s="47"/>
      <c r="AFS20" s="47"/>
      <c r="AFT20" s="47"/>
      <c r="AFU20" s="47"/>
      <c r="AFV20" s="47"/>
      <c r="AFW20" s="47"/>
      <c r="AFX20" s="47"/>
      <c r="AFY20" s="47"/>
      <c r="AFZ20" s="47"/>
      <c r="AGA20" s="47"/>
      <c r="AGB20" s="47"/>
      <c r="AGC20" s="47"/>
      <c r="AGD20" s="47"/>
      <c r="AGE20" s="47"/>
      <c r="AGF20" s="47"/>
      <c r="AGG20" s="47"/>
      <c r="AGH20" s="47"/>
      <c r="AGI20" s="47"/>
      <c r="AGJ20" s="47"/>
      <c r="AGK20" s="47"/>
      <c r="AGL20" s="47"/>
      <c r="AGM20" s="47"/>
      <c r="AGN20" s="47"/>
      <c r="AGO20" s="47"/>
      <c r="AGP20" s="47"/>
      <c r="AGQ20" s="47"/>
      <c r="AGR20" s="47"/>
      <c r="AGS20" s="47"/>
      <c r="AGT20" s="47"/>
      <c r="AGU20" s="47"/>
      <c r="AGV20" s="47"/>
      <c r="AGW20" s="47"/>
      <c r="AGX20" s="47"/>
      <c r="AGY20" s="47"/>
      <c r="AGZ20" s="47"/>
      <c r="AHA20" s="47"/>
      <c r="AHB20" s="47"/>
      <c r="AHC20" s="47"/>
      <c r="AHD20" s="47"/>
      <c r="AHE20" s="47"/>
      <c r="AHF20" s="47"/>
      <c r="AHG20" s="47"/>
      <c r="AHH20" s="47"/>
      <c r="AHI20" s="47"/>
      <c r="AHJ20" s="47"/>
      <c r="AHK20" s="47"/>
      <c r="AHL20" s="47"/>
      <c r="AHM20" s="47"/>
      <c r="AHN20" s="47"/>
      <c r="AHO20" s="47"/>
      <c r="AHP20" s="47"/>
      <c r="AHQ20" s="47"/>
      <c r="AHR20" s="47"/>
      <c r="AHS20" s="47"/>
      <c r="AHT20" s="47"/>
      <c r="AHU20" s="47"/>
      <c r="AHV20" s="47"/>
      <c r="AHW20" s="47"/>
      <c r="AHX20" s="47"/>
      <c r="AHY20" s="47"/>
      <c r="AHZ20" s="47"/>
      <c r="AIA20" s="47"/>
      <c r="AIB20" s="47"/>
      <c r="AIC20" s="47"/>
      <c r="AID20" s="47"/>
      <c r="AIE20" s="47"/>
      <c r="AIF20" s="47"/>
      <c r="AIG20" s="47"/>
      <c r="AIH20" s="47"/>
      <c r="AII20" s="47"/>
      <c r="AIJ20" s="47"/>
      <c r="AIK20" s="47"/>
      <c r="AIL20" s="47"/>
      <c r="AIM20" s="47"/>
      <c r="AIN20" s="47"/>
      <c r="AIO20" s="47"/>
      <c r="AIP20" s="47"/>
      <c r="AIQ20" s="47"/>
      <c r="AIR20" s="47"/>
      <c r="AIS20" s="47"/>
      <c r="AIT20" s="47"/>
      <c r="AIU20" s="47"/>
      <c r="AIV20" s="47"/>
      <c r="AIW20" s="47"/>
      <c r="AIX20" s="47"/>
      <c r="AIY20" s="47"/>
      <c r="AIZ20" s="47"/>
      <c r="AJA20" s="47"/>
      <c r="AJB20" s="47"/>
      <c r="AJC20" s="47"/>
      <c r="AJD20" s="47"/>
      <c r="AJE20" s="47"/>
      <c r="AJF20" s="47"/>
      <c r="AJG20" s="47"/>
      <c r="AJH20" s="47"/>
      <c r="AJI20" s="47"/>
      <c r="AJJ20" s="47"/>
      <c r="AJK20" s="47"/>
      <c r="AJL20" s="47"/>
      <c r="AJM20" s="47"/>
      <c r="AJN20" s="47"/>
      <c r="AJO20" s="47"/>
      <c r="AJP20" s="47"/>
      <c r="AJQ20" s="47"/>
      <c r="AJR20" s="47"/>
      <c r="AJS20" s="47"/>
      <c r="AJT20" s="47"/>
      <c r="AJU20" s="47"/>
      <c r="AJV20" s="47"/>
      <c r="AJW20" s="47"/>
      <c r="AJX20" s="47"/>
      <c r="AJY20" s="47"/>
      <c r="AJZ20" s="47"/>
      <c r="AKA20" s="47"/>
      <c r="AKB20" s="47"/>
      <c r="AKC20" s="47"/>
      <c r="AKD20" s="47"/>
      <c r="AKE20" s="47"/>
      <c r="AKF20" s="47"/>
      <c r="AKG20" s="47"/>
      <c r="AKH20" s="47"/>
      <c r="AKI20" s="47"/>
      <c r="AKJ20" s="47"/>
      <c r="AKK20" s="47"/>
      <c r="AKL20" s="47"/>
      <c r="AKM20" s="47"/>
      <c r="AKN20" s="47"/>
      <c r="AKO20" s="47"/>
      <c r="AKP20" s="47"/>
      <c r="AKQ20" s="47"/>
      <c r="AKR20" s="47"/>
      <c r="AKS20" s="47"/>
      <c r="AKT20" s="47"/>
      <c r="AKU20" s="47"/>
      <c r="AKV20" s="47"/>
      <c r="AKW20" s="47"/>
      <c r="AKX20" s="47"/>
      <c r="AKY20" s="47"/>
      <c r="AKZ20" s="47"/>
      <c r="ALA20" s="47"/>
      <c r="ALB20" s="47"/>
      <c r="ALC20" s="47"/>
      <c r="ALD20" s="47"/>
      <c r="ALE20" s="47"/>
      <c r="ALF20" s="47"/>
      <c r="ALG20" s="47"/>
      <c r="ALH20" s="47"/>
      <c r="ALI20" s="47"/>
      <c r="ALJ20" s="47"/>
      <c r="ALK20" s="47"/>
      <c r="ALL20" s="47"/>
      <c r="ALM20" s="47"/>
      <c r="ALN20" s="47"/>
      <c r="ALO20" s="47"/>
      <c r="ALP20" s="47"/>
      <c r="ALQ20" s="47"/>
      <c r="ALR20" s="47"/>
      <c r="ALS20" s="47"/>
      <c r="ALT20" s="47"/>
      <c r="ALU20" s="47"/>
      <c r="ALV20" s="47"/>
      <c r="ALW20" s="47"/>
      <c r="ALX20" s="47"/>
      <c r="ALY20" s="47"/>
      <c r="ALZ20" s="47"/>
      <c r="AMA20" s="47"/>
      <c r="AMB20" s="47"/>
      <c r="AMC20" s="47"/>
      <c r="AMD20" s="47"/>
      <c r="AME20" s="47"/>
      <c r="AMF20" s="47"/>
      <c r="AMG20" s="47"/>
      <c r="AMH20" s="47"/>
      <c r="AMI20" s="47"/>
      <c r="AMJ20" s="47"/>
    </row>
    <row r="21" spans="1:1024" s="85" customFormat="1" ht="11.25" customHeight="1" x14ac:dyDescent="0.3">
      <c r="A21" s="38" t="s">
        <v>140</v>
      </c>
      <c r="B21" s="38" t="s">
        <v>108</v>
      </c>
      <c r="C21" s="57" t="s">
        <v>154</v>
      </c>
      <c r="D21" s="46"/>
      <c r="E21" s="46">
        <v>45680</v>
      </c>
      <c r="F21" s="46">
        <v>45680</v>
      </c>
      <c r="G21" s="38" t="s">
        <v>376</v>
      </c>
      <c r="H21" s="39" t="s">
        <v>141</v>
      </c>
      <c r="I21" s="39" t="s">
        <v>113</v>
      </c>
      <c r="J21" s="39" t="s">
        <v>113</v>
      </c>
      <c r="K21" s="57" t="s">
        <v>411</v>
      </c>
      <c r="L21" s="57" t="s">
        <v>412</v>
      </c>
      <c r="M21" s="38" t="s">
        <v>176</v>
      </c>
      <c r="N21" s="57" t="s">
        <v>142</v>
      </c>
      <c r="O21" s="89" t="s">
        <v>264</v>
      </c>
      <c r="P21" s="57" t="s">
        <v>433</v>
      </c>
      <c r="Q21" s="46">
        <v>35364</v>
      </c>
      <c r="R21" s="47"/>
      <c r="S21" s="47"/>
      <c r="T21" s="47"/>
      <c r="U21" s="47"/>
      <c r="V21" s="47" t="s">
        <v>365</v>
      </c>
      <c r="W21" s="46">
        <v>45680</v>
      </c>
      <c r="X21" s="83">
        <v>0.8125</v>
      </c>
      <c r="Y21" s="57" t="s">
        <v>459</v>
      </c>
      <c r="Z21" s="46">
        <v>45681</v>
      </c>
      <c r="AA21" s="47" t="s">
        <v>460</v>
      </c>
      <c r="AB21" s="47" t="s">
        <v>437</v>
      </c>
      <c r="AC21" s="45">
        <v>45681</v>
      </c>
      <c r="AD21" s="87" t="s">
        <v>449</v>
      </c>
      <c r="AE21" s="40" t="s">
        <v>465</v>
      </c>
      <c r="AF21" s="40" t="s">
        <v>128</v>
      </c>
      <c r="AG21" s="47" t="s">
        <v>125</v>
      </c>
      <c r="AH21" s="47" t="s">
        <v>126</v>
      </c>
      <c r="AI21" s="84" t="s">
        <v>123</v>
      </c>
      <c r="AJ21" s="47" t="s">
        <v>124</v>
      </c>
      <c r="AK21" s="58">
        <v>3</v>
      </c>
      <c r="AL21" s="79" t="s">
        <v>143</v>
      </c>
      <c r="AM21" s="86"/>
      <c r="AN21" s="86"/>
      <c r="AO21" s="38"/>
      <c r="AP21" s="47" t="s">
        <v>143</v>
      </c>
      <c r="AQ21" s="79" t="s">
        <v>143</v>
      </c>
      <c r="AR21" s="86"/>
      <c r="AS21" s="86"/>
      <c r="AT21" s="47"/>
      <c r="AU21" s="57" t="s">
        <v>143</v>
      </c>
      <c r="AV21" s="79" t="s">
        <v>143</v>
      </c>
      <c r="AW21" s="86"/>
      <c r="AX21" s="86"/>
      <c r="AY21" s="47"/>
      <c r="AZ21" s="47" t="s">
        <v>143</v>
      </c>
      <c r="BA21" s="38" t="s">
        <v>374</v>
      </c>
      <c r="BB21" s="38" t="s">
        <v>373</v>
      </c>
      <c r="BC21" s="39" t="s">
        <v>374</v>
      </c>
      <c r="BD21" s="41" t="s">
        <v>375</v>
      </c>
      <c r="BE21" s="41">
        <f t="shared" si="0"/>
        <v>45680</v>
      </c>
      <c r="BF21" s="83">
        <v>0.625</v>
      </c>
      <c r="BG21" s="38" t="s">
        <v>374</v>
      </c>
      <c r="BH21" s="38" t="s">
        <v>372</v>
      </c>
      <c r="BI21" s="45" t="s">
        <v>374</v>
      </c>
      <c r="BJ21" s="45" t="s">
        <v>375</v>
      </c>
      <c r="BK21" s="45">
        <v>45679</v>
      </c>
      <c r="BL21" s="83">
        <v>0.125</v>
      </c>
      <c r="BM21" s="39" t="s">
        <v>143</v>
      </c>
      <c r="BN21" s="41"/>
      <c r="BO21" s="39"/>
      <c r="BP21" s="38"/>
      <c r="BQ21" s="41"/>
      <c r="BR21" s="83"/>
      <c r="BS21" s="41" t="s">
        <v>143</v>
      </c>
      <c r="BT21" s="41"/>
      <c r="BU21" s="41"/>
      <c r="BV21" s="41"/>
      <c r="BW21" s="41"/>
      <c r="BX21" s="83"/>
      <c r="BY21" s="38"/>
      <c r="BZ21" s="47"/>
      <c r="CA21" s="86"/>
      <c r="CB21" s="86"/>
      <c r="CC21" s="47"/>
      <c r="CD21" s="47"/>
      <c r="CE21" s="86"/>
      <c r="CF21" s="86"/>
      <c r="CG21" s="47"/>
      <c r="CH21" s="47"/>
      <c r="CI21" s="47"/>
      <c r="CJ21" s="47"/>
      <c r="CK21" s="47"/>
      <c r="CL21" s="38"/>
      <c r="CM21" s="38"/>
      <c r="CN21" s="38"/>
      <c r="CO21" s="59"/>
      <c r="CP21" s="38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47"/>
      <c r="GO21" s="47"/>
      <c r="GP21" s="47"/>
      <c r="GQ21" s="47"/>
      <c r="GR21" s="47"/>
      <c r="GS21" s="47"/>
      <c r="GT21" s="47"/>
      <c r="GU21" s="47"/>
      <c r="GV21" s="47"/>
      <c r="GW21" s="47"/>
      <c r="GX21" s="47"/>
      <c r="GY21" s="47"/>
      <c r="GZ21" s="47"/>
      <c r="HA21" s="47"/>
      <c r="HB21" s="47"/>
      <c r="HC21" s="47"/>
      <c r="HD21" s="47"/>
      <c r="HE21" s="47"/>
      <c r="HF21" s="47"/>
      <c r="HG21" s="47"/>
      <c r="HH21" s="47"/>
      <c r="HI21" s="47"/>
      <c r="HJ21" s="47"/>
      <c r="HK21" s="47"/>
      <c r="HL21" s="47"/>
      <c r="HM21" s="47"/>
      <c r="HN21" s="47"/>
      <c r="HO21" s="47"/>
      <c r="HP21" s="47"/>
      <c r="HQ21" s="47"/>
      <c r="HR21" s="47"/>
      <c r="HS21" s="47"/>
      <c r="HT21" s="47"/>
      <c r="HU21" s="47"/>
      <c r="HV21" s="47"/>
      <c r="HW21" s="47"/>
      <c r="HX21" s="47"/>
      <c r="HY21" s="47"/>
      <c r="HZ21" s="47"/>
      <c r="IA21" s="47"/>
      <c r="IB21" s="47"/>
      <c r="IC21" s="47"/>
      <c r="ID21" s="47"/>
      <c r="IE21" s="47"/>
      <c r="IF21" s="47"/>
      <c r="IG21" s="47"/>
      <c r="IH21" s="47"/>
      <c r="II21" s="47"/>
      <c r="IJ21" s="47"/>
      <c r="IK21" s="47"/>
      <c r="IL21" s="47"/>
      <c r="IM21" s="47"/>
      <c r="IN21" s="47"/>
      <c r="IO21" s="47"/>
      <c r="IP21" s="47"/>
      <c r="IQ21" s="47"/>
      <c r="IR21" s="47"/>
      <c r="IS21" s="47"/>
      <c r="IT21" s="47"/>
      <c r="IU21" s="47"/>
      <c r="IV21" s="47"/>
      <c r="IW21" s="47"/>
      <c r="IX21" s="47"/>
      <c r="IY21" s="47"/>
      <c r="IZ21" s="47"/>
      <c r="JA21" s="47"/>
      <c r="JB21" s="47"/>
      <c r="JC21" s="47"/>
      <c r="JD21" s="47"/>
      <c r="JE21" s="47"/>
      <c r="JF21" s="47"/>
      <c r="JG21" s="47"/>
      <c r="JH21" s="47"/>
      <c r="JI21" s="47"/>
      <c r="JJ21" s="47"/>
      <c r="JK21" s="47"/>
      <c r="JL21" s="47"/>
      <c r="JM21" s="47"/>
      <c r="JN21" s="47"/>
      <c r="JO21" s="47"/>
      <c r="JP21" s="47"/>
      <c r="JQ21" s="47"/>
      <c r="JR21" s="47"/>
      <c r="JS21" s="47"/>
      <c r="JT21" s="47"/>
      <c r="JU21" s="47"/>
      <c r="JV21" s="47"/>
      <c r="JW21" s="47"/>
      <c r="JX21" s="47"/>
      <c r="JY21" s="47"/>
      <c r="JZ21" s="47"/>
      <c r="KA21" s="47"/>
      <c r="KB21" s="47"/>
      <c r="KC21" s="47"/>
      <c r="KD21" s="47"/>
      <c r="KE21" s="47"/>
      <c r="KF21" s="47"/>
      <c r="KG21" s="47"/>
      <c r="KH21" s="47"/>
      <c r="KI21" s="47"/>
      <c r="KJ21" s="47"/>
      <c r="KK21" s="47"/>
      <c r="KL21" s="47"/>
      <c r="KM21" s="47"/>
      <c r="KN21" s="47"/>
      <c r="KO21" s="47"/>
      <c r="KP21" s="47"/>
      <c r="KQ21" s="47"/>
      <c r="KR21" s="47"/>
      <c r="KS21" s="47"/>
      <c r="KT21" s="47"/>
      <c r="KU21" s="47"/>
      <c r="KV21" s="47"/>
      <c r="KW21" s="47"/>
      <c r="KX21" s="47"/>
      <c r="KY21" s="47"/>
      <c r="KZ21" s="47"/>
      <c r="LA21" s="47"/>
      <c r="LB21" s="47"/>
      <c r="LC21" s="47"/>
      <c r="LD21" s="47"/>
      <c r="LE21" s="47"/>
      <c r="LF21" s="47"/>
      <c r="LG21" s="47"/>
      <c r="LH21" s="47"/>
      <c r="LI21" s="47"/>
      <c r="LJ21" s="47"/>
      <c r="LK21" s="47"/>
      <c r="LL21" s="47"/>
      <c r="LM21" s="47"/>
      <c r="LN21" s="47"/>
      <c r="LO21" s="47"/>
      <c r="LP21" s="47"/>
      <c r="LQ21" s="47"/>
      <c r="LR21" s="47"/>
      <c r="LS21" s="47"/>
      <c r="LT21" s="47"/>
      <c r="LU21" s="47"/>
      <c r="LV21" s="47"/>
      <c r="LW21" s="47"/>
      <c r="LX21" s="47"/>
      <c r="LY21" s="47"/>
      <c r="LZ21" s="47"/>
      <c r="MA21" s="47"/>
      <c r="MB21" s="47"/>
      <c r="MC21" s="47"/>
      <c r="MD21" s="47"/>
      <c r="ME21" s="47"/>
      <c r="MF21" s="47"/>
      <c r="MG21" s="47"/>
      <c r="MH21" s="47"/>
      <c r="MI21" s="47"/>
      <c r="MJ21" s="47"/>
      <c r="MK21" s="47"/>
      <c r="ML21" s="47"/>
      <c r="MM21" s="47"/>
      <c r="MN21" s="47"/>
      <c r="MO21" s="47"/>
      <c r="MP21" s="47"/>
      <c r="MQ21" s="47"/>
      <c r="MR21" s="47"/>
      <c r="MS21" s="47"/>
      <c r="MT21" s="47"/>
      <c r="MU21" s="47"/>
      <c r="MV21" s="47"/>
      <c r="MW21" s="47"/>
      <c r="MX21" s="47"/>
      <c r="MY21" s="47"/>
      <c r="MZ21" s="47"/>
      <c r="NA21" s="47"/>
      <c r="NB21" s="47"/>
      <c r="NC21" s="47"/>
      <c r="ND21" s="47"/>
      <c r="NE21" s="47"/>
      <c r="NF21" s="47"/>
      <c r="NG21" s="47"/>
      <c r="NH21" s="47"/>
      <c r="NI21" s="47"/>
      <c r="NJ21" s="47"/>
      <c r="NK21" s="47"/>
      <c r="NL21" s="47"/>
      <c r="NM21" s="47"/>
      <c r="NN21" s="47"/>
      <c r="NO21" s="47"/>
      <c r="NP21" s="47"/>
      <c r="NQ21" s="47"/>
      <c r="NR21" s="47"/>
      <c r="NS21" s="47"/>
      <c r="NT21" s="47"/>
      <c r="NU21" s="47"/>
      <c r="NV21" s="47"/>
      <c r="NW21" s="47"/>
      <c r="NX21" s="47"/>
      <c r="NY21" s="47"/>
      <c r="NZ21" s="47"/>
      <c r="OA21" s="47"/>
      <c r="OB21" s="47"/>
      <c r="OC21" s="47"/>
      <c r="OD21" s="47"/>
      <c r="OE21" s="47"/>
      <c r="OF21" s="47"/>
      <c r="OG21" s="47"/>
      <c r="OH21" s="47"/>
      <c r="OI21" s="47"/>
      <c r="OJ21" s="47"/>
      <c r="OK21" s="47"/>
      <c r="OL21" s="47"/>
      <c r="OM21" s="47"/>
      <c r="ON21" s="47"/>
      <c r="OO21" s="47"/>
      <c r="OP21" s="47"/>
      <c r="OQ21" s="47"/>
      <c r="OR21" s="47"/>
      <c r="OS21" s="47"/>
      <c r="OT21" s="47"/>
      <c r="OU21" s="47"/>
      <c r="OV21" s="47"/>
      <c r="OW21" s="47"/>
      <c r="OX21" s="47"/>
      <c r="OY21" s="47"/>
      <c r="OZ21" s="47"/>
      <c r="PA21" s="47"/>
      <c r="PB21" s="47"/>
      <c r="PC21" s="47"/>
      <c r="PD21" s="47"/>
      <c r="PE21" s="47"/>
      <c r="PF21" s="47"/>
      <c r="PG21" s="47"/>
      <c r="PH21" s="47"/>
      <c r="PI21" s="47"/>
      <c r="PJ21" s="47"/>
      <c r="PK21" s="47"/>
      <c r="PL21" s="47"/>
      <c r="PM21" s="47"/>
      <c r="PN21" s="47"/>
      <c r="PO21" s="47"/>
      <c r="PP21" s="47"/>
      <c r="PQ21" s="47"/>
      <c r="PR21" s="47"/>
      <c r="PS21" s="47"/>
      <c r="PT21" s="47"/>
      <c r="PU21" s="47"/>
      <c r="PV21" s="47"/>
      <c r="PW21" s="47"/>
      <c r="PX21" s="47"/>
      <c r="PY21" s="47"/>
      <c r="PZ21" s="47"/>
      <c r="QA21" s="47"/>
      <c r="QB21" s="47"/>
      <c r="QC21" s="47"/>
      <c r="QD21" s="47"/>
      <c r="QE21" s="47"/>
      <c r="QF21" s="47"/>
      <c r="QG21" s="47"/>
      <c r="QH21" s="47"/>
      <c r="QI21" s="47"/>
      <c r="QJ21" s="47"/>
      <c r="QK21" s="47"/>
      <c r="QL21" s="47"/>
      <c r="QM21" s="47"/>
      <c r="QN21" s="47"/>
      <c r="QO21" s="47"/>
      <c r="QP21" s="47"/>
      <c r="QQ21" s="47"/>
      <c r="QR21" s="47"/>
      <c r="QS21" s="47"/>
      <c r="QT21" s="47"/>
      <c r="QU21" s="47"/>
      <c r="QV21" s="47"/>
      <c r="QW21" s="47"/>
      <c r="QX21" s="47"/>
      <c r="QY21" s="47"/>
      <c r="QZ21" s="47"/>
      <c r="RA21" s="47"/>
      <c r="RB21" s="47"/>
      <c r="RC21" s="47"/>
      <c r="RD21" s="47"/>
      <c r="RE21" s="47"/>
      <c r="RF21" s="47"/>
      <c r="RG21" s="47"/>
      <c r="RH21" s="47"/>
      <c r="RI21" s="47"/>
      <c r="RJ21" s="47"/>
      <c r="RK21" s="47"/>
      <c r="RL21" s="47"/>
      <c r="RM21" s="47"/>
      <c r="RN21" s="47"/>
      <c r="RO21" s="47"/>
      <c r="RP21" s="47"/>
      <c r="RQ21" s="47"/>
      <c r="RR21" s="47"/>
      <c r="RS21" s="47"/>
      <c r="RT21" s="47"/>
      <c r="RU21" s="47"/>
      <c r="RV21" s="47"/>
      <c r="RW21" s="47"/>
      <c r="RX21" s="47"/>
      <c r="RY21" s="47"/>
      <c r="RZ21" s="47"/>
      <c r="SA21" s="47"/>
      <c r="SB21" s="47"/>
      <c r="SC21" s="47"/>
      <c r="SD21" s="47"/>
      <c r="SE21" s="47"/>
      <c r="SF21" s="47"/>
      <c r="SG21" s="47"/>
      <c r="SH21" s="47"/>
      <c r="SI21" s="47"/>
      <c r="SJ21" s="47"/>
      <c r="SK21" s="47"/>
      <c r="SL21" s="47"/>
      <c r="SM21" s="47"/>
      <c r="SN21" s="47"/>
      <c r="SO21" s="47"/>
      <c r="SP21" s="47"/>
      <c r="SQ21" s="47"/>
      <c r="SR21" s="47"/>
      <c r="SS21" s="47"/>
      <c r="ST21" s="47"/>
      <c r="SU21" s="47"/>
      <c r="SV21" s="47"/>
      <c r="SW21" s="47"/>
      <c r="SX21" s="47"/>
      <c r="SY21" s="47"/>
      <c r="SZ21" s="47"/>
      <c r="TA21" s="47"/>
      <c r="TB21" s="47"/>
      <c r="TC21" s="47"/>
      <c r="TD21" s="47"/>
      <c r="TE21" s="47"/>
      <c r="TF21" s="47"/>
      <c r="TG21" s="47"/>
      <c r="TH21" s="47"/>
      <c r="TI21" s="47"/>
      <c r="TJ21" s="47"/>
      <c r="TK21" s="47"/>
      <c r="TL21" s="47"/>
      <c r="TM21" s="47"/>
      <c r="TN21" s="47"/>
      <c r="TO21" s="47"/>
      <c r="TP21" s="47"/>
      <c r="TQ21" s="47"/>
      <c r="TR21" s="47"/>
      <c r="TS21" s="47"/>
      <c r="TT21" s="47"/>
      <c r="TU21" s="47"/>
      <c r="TV21" s="47"/>
      <c r="TW21" s="47"/>
      <c r="TX21" s="47"/>
      <c r="TY21" s="47"/>
      <c r="TZ21" s="47"/>
      <c r="UA21" s="47"/>
      <c r="UB21" s="47"/>
      <c r="UC21" s="47"/>
      <c r="UD21" s="47"/>
      <c r="UE21" s="47"/>
      <c r="UF21" s="47"/>
      <c r="UG21" s="47"/>
      <c r="UH21" s="47"/>
      <c r="UI21" s="47"/>
      <c r="UJ21" s="47"/>
      <c r="UK21" s="47"/>
      <c r="UL21" s="47"/>
      <c r="UM21" s="47"/>
      <c r="UN21" s="47"/>
      <c r="UO21" s="47"/>
      <c r="UP21" s="47"/>
      <c r="UQ21" s="47"/>
      <c r="UR21" s="47"/>
      <c r="US21" s="47"/>
      <c r="UT21" s="47"/>
      <c r="UU21" s="47"/>
      <c r="UV21" s="47"/>
      <c r="UW21" s="47"/>
      <c r="UX21" s="47"/>
      <c r="UY21" s="47"/>
      <c r="UZ21" s="47"/>
      <c r="VA21" s="47"/>
      <c r="VB21" s="47"/>
      <c r="VC21" s="47"/>
      <c r="VD21" s="47"/>
      <c r="VE21" s="47"/>
      <c r="VF21" s="47"/>
      <c r="VG21" s="47"/>
      <c r="VH21" s="47"/>
      <c r="VI21" s="47"/>
      <c r="VJ21" s="47"/>
      <c r="VK21" s="47"/>
      <c r="VL21" s="47"/>
      <c r="VM21" s="47"/>
      <c r="VN21" s="47"/>
      <c r="VO21" s="47"/>
      <c r="VP21" s="47"/>
      <c r="VQ21" s="47"/>
      <c r="VR21" s="47"/>
      <c r="VS21" s="47"/>
      <c r="VT21" s="47"/>
      <c r="VU21" s="47"/>
      <c r="VV21" s="47"/>
      <c r="VW21" s="47"/>
      <c r="VX21" s="47"/>
      <c r="VY21" s="47"/>
      <c r="VZ21" s="47"/>
      <c r="WA21" s="47"/>
      <c r="WB21" s="47"/>
      <c r="WC21" s="47"/>
      <c r="WD21" s="47"/>
      <c r="WE21" s="47"/>
      <c r="WF21" s="47"/>
      <c r="WG21" s="47"/>
      <c r="WH21" s="47"/>
      <c r="WI21" s="47"/>
      <c r="WJ21" s="47"/>
      <c r="WK21" s="47"/>
      <c r="WL21" s="47"/>
      <c r="WM21" s="47"/>
      <c r="WN21" s="47"/>
      <c r="WO21" s="47"/>
      <c r="WP21" s="47"/>
      <c r="WQ21" s="47"/>
      <c r="WR21" s="47"/>
      <c r="WS21" s="47"/>
      <c r="WT21" s="47"/>
      <c r="WU21" s="47"/>
      <c r="WV21" s="47"/>
      <c r="WW21" s="47"/>
      <c r="WX21" s="47"/>
      <c r="WY21" s="47"/>
      <c r="WZ21" s="47"/>
      <c r="XA21" s="47"/>
      <c r="XB21" s="47"/>
      <c r="XC21" s="47"/>
      <c r="XD21" s="47"/>
      <c r="XE21" s="47"/>
      <c r="XF21" s="47"/>
      <c r="XG21" s="47"/>
      <c r="XH21" s="47"/>
      <c r="XI21" s="47"/>
      <c r="XJ21" s="47"/>
      <c r="XK21" s="47"/>
      <c r="XL21" s="47"/>
      <c r="XM21" s="47"/>
      <c r="XN21" s="47"/>
      <c r="XO21" s="47"/>
      <c r="XP21" s="47"/>
      <c r="XQ21" s="47"/>
      <c r="XR21" s="47"/>
      <c r="XS21" s="47"/>
      <c r="XT21" s="47"/>
      <c r="XU21" s="47"/>
      <c r="XV21" s="47"/>
      <c r="XW21" s="47"/>
      <c r="XX21" s="47"/>
      <c r="XY21" s="47"/>
      <c r="XZ21" s="47"/>
      <c r="YA21" s="47"/>
      <c r="YB21" s="47"/>
      <c r="YC21" s="47"/>
      <c r="YD21" s="47"/>
      <c r="YE21" s="47"/>
      <c r="YF21" s="47"/>
      <c r="YG21" s="47"/>
      <c r="YH21" s="47"/>
      <c r="YI21" s="47"/>
      <c r="YJ21" s="47"/>
      <c r="YK21" s="47"/>
      <c r="YL21" s="47"/>
      <c r="YM21" s="47"/>
      <c r="YN21" s="47"/>
      <c r="YO21" s="47"/>
      <c r="YP21" s="47"/>
      <c r="YQ21" s="47"/>
      <c r="YR21" s="47"/>
      <c r="YS21" s="47"/>
      <c r="YT21" s="47"/>
      <c r="YU21" s="47"/>
      <c r="YV21" s="47"/>
      <c r="YW21" s="47"/>
      <c r="YX21" s="47"/>
      <c r="YY21" s="47"/>
      <c r="YZ21" s="47"/>
      <c r="ZA21" s="47"/>
      <c r="ZB21" s="47"/>
      <c r="ZC21" s="47"/>
      <c r="ZD21" s="47"/>
      <c r="ZE21" s="47"/>
      <c r="ZF21" s="47"/>
      <c r="ZG21" s="47"/>
      <c r="ZH21" s="47"/>
      <c r="ZI21" s="47"/>
      <c r="ZJ21" s="47"/>
      <c r="ZK21" s="47"/>
      <c r="ZL21" s="47"/>
      <c r="ZM21" s="47"/>
      <c r="ZN21" s="47"/>
      <c r="ZO21" s="47"/>
      <c r="ZP21" s="47"/>
      <c r="ZQ21" s="47"/>
      <c r="ZR21" s="47"/>
      <c r="ZS21" s="47"/>
      <c r="ZT21" s="47"/>
      <c r="ZU21" s="47"/>
      <c r="ZV21" s="47"/>
      <c r="ZW21" s="47"/>
      <c r="ZX21" s="47"/>
      <c r="ZY21" s="47"/>
      <c r="ZZ21" s="47"/>
      <c r="AAA21" s="47"/>
      <c r="AAB21" s="47"/>
      <c r="AAC21" s="47"/>
      <c r="AAD21" s="47"/>
      <c r="AAE21" s="47"/>
      <c r="AAF21" s="47"/>
      <c r="AAG21" s="47"/>
      <c r="AAH21" s="47"/>
      <c r="AAI21" s="47"/>
      <c r="AAJ21" s="47"/>
      <c r="AAK21" s="47"/>
      <c r="AAL21" s="47"/>
      <c r="AAM21" s="47"/>
      <c r="AAN21" s="47"/>
      <c r="AAO21" s="47"/>
      <c r="AAP21" s="47"/>
      <c r="AAQ21" s="47"/>
      <c r="AAR21" s="47"/>
      <c r="AAS21" s="47"/>
      <c r="AAT21" s="47"/>
      <c r="AAU21" s="47"/>
      <c r="AAV21" s="47"/>
      <c r="AAW21" s="47"/>
      <c r="AAX21" s="47"/>
      <c r="AAY21" s="47"/>
      <c r="AAZ21" s="47"/>
      <c r="ABA21" s="47"/>
      <c r="ABB21" s="47"/>
      <c r="ABC21" s="47"/>
      <c r="ABD21" s="47"/>
      <c r="ABE21" s="47"/>
      <c r="ABF21" s="47"/>
      <c r="ABG21" s="47"/>
      <c r="ABH21" s="47"/>
      <c r="ABI21" s="47"/>
      <c r="ABJ21" s="47"/>
      <c r="ABK21" s="47"/>
      <c r="ABL21" s="47"/>
      <c r="ABM21" s="47"/>
      <c r="ABN21" s="47"/>
      <c r="ABO21" s="47"/>
      <c r="ABP21" s="47"/>
      <c r="ABQ21" s="47"/>
      <c r="ABR21" s="47"/>
      <c r="ABS21" s="47"/>
      <c r="ABT21" s="47"/>
      <c r="ABU21" s="47"/>
      <c r="ABV21" s="47"/>
      <c r="ABW21" s="47"/>
      <c r="ABX21" s="47"/>
      <c r="ABY21" s="47"/>
      <c r="ABZ21" s="47"/>
      <c r="ACA21" s="47"/>
      <c r="ACB21" s="47"/>
      <c r="ACC21" s="47"/>
      <c r="ACD21" s="47"/>
      <c r="ACE21" s="47"/>
      <c r="ACF21" s="47"/>
      <c r="ACG21" s="47"/>
      <c r="ACH21" s="47"/>
      <c r="ACI21" s="47"/>
      <c r="ACJ21" s="47"/>
      <c r="ACK21" s="47"/>
      <c r="ACL21" s="47"/>
      <c r="ACM21" s="47"/>
      <c r="ACN21" s="47"/>
      <c r="ACO21" s="47"/>
      <c r="ACP21" s="47"/>
      <c r="ACQ21" s="47"/>
      <c r="ACR21" s="47"/>
      <c r="ACS21" s="47"/>
      <c r="ACT21" s="47"/>
      <c r="ACU21" s="47"/>
      <c r="ACV21" s="47"/>
      <c r="ACW21" s="47"/>
      <c r="ACX21" s="47"/>
      <c r="ACY21" s="47"/>
      <c r="ACZ21" s="47"/>
      <c r="ADA21" s="47"/>
      <c r="ADB21" s="47"/>
      <c r="ADC21" s="47"/>
      <c r="ADD21" s="47"/>
      <c r="ADE21" s="47"/>
      <c r="ADF21" s="47"/>
      <c r="ADG21" s="47"/>
      <c r="ADH21" s="47"/>
      <c r="ADI21" s="47"/>
      <c r="ADJ21" s="47"/>
      <c r="ADK21" s="47"/>
      <c r="ADL21" s="47"/>
      <c r="ADM21" s="47"/>
      <c r="ADN21" s="47"/>
      <c r="ADO21" s="47"/>
      <c r="ADP21" s="47"/>
      <c r="ADQ21" s="47"/>
      <c r="ADR21" s="47"/>
      <c r="ADS21" s="47"/>
      <c r="ADT21" s="47"/>
      <c r="ADU21" s="47"/>
      <c r="ADV21" s="47"/>
      <c r="ADW21" s="47"/>
      <c r="ADX21" s="47"/>
      <c r="ADY21" s="47"/>
      <c r="ADZ21" s="47"/>
      <c r="AEA21" s="47"/>
      <c r="AEB21" s="47"/>
      <c r="AEC21" s="47"/>
      <c r="AED21" s="47"/>
      <c r="AEE21" s="47"/>
      <c r="AEF21" s="47"/>
      <c r="AEG21" s="47"/>
      <c r="AEH21" s="47"/>
      <c r="AEI21" s="47"/>
      <c r="AEJ21" s="47"/>
      <c r="AEK21" s="47"/>
      <c r="AEL21" s="47"/>
      <c r="AEM21" s="47"/>
      <c r="AEN21" s="47"/>
      <c r="AEO21" s="47"/>
      <c r="AEP21" s="47"/>
      <c r="AEQ21" s="47"/>
      <c r="AER21" s="47"/>
      <c r="AES21" s="47"/>
      <c r="AET21" s="47"/>
      <c r="AEU21" s="47"/>
      <c r="AEV21" s="47"/>
      <c r="AEW21" s="47"/>
      <c r="AEX21" s="47"/>
      <c r="AEY21" s="47"/>
      <c r="AEZ21" s="47"/>
      <c r="AFA21" s="47"/>
      <c r="AFB21" s="47"/>
      <c r="AFC21" s="47"/>
      <c r="AFD21" s="47"/>
      <c r="AFE21" s="47"/>
      <c r="AFF21" s="47"/>
      <c r="AFG21" s="47"/>
      <c r="AFH21" s="47"/>
      <c r="AFI21" s="47"/>
      <c r="AFJ21" s="47"/>
      <c r="AFK21" s="47"/>
      <c r="AFL21" s="47"/>
      <c r="AFM21" s="47"/>
      <c r="AFN21" s="47"/>
      <c r="AFO21" s="47"/>
      <c r="AFP21" s="47"/>
      <c r="AFQ21" s="47"/>
      <c r="AFR21" s="47"/>
      <c r="AFS21" s="47"/>
      <c r="AFT21" s="47"/>
      <c r="AFU21" s="47"/>
      <c r="AFV21" s="47"/>
      <c r="AFW21" s="47"/>
      <c r="AFX21" s="47"/>
      <c r="AFY21" s="47"/>
      <c r="AFZ21" s="47"/>
      <c r="AGA21" s="47"/>
      <c r="AGB21" s="47"/>
      <c r="AGC21" s="47"/>
      <c r="AGD21" s="47"/>
      <c r="AGE21" s="47"/>
      <c r="AGF21" s="47"/>
      <c r="AGG21" s="47"/>
      <c r="AGH21" s="47"/>
      <c r="AGI21" s="47"/>
      <c r="AGJ21" s="47"/>
      <c r="AGK21" s="47"/>
      <c r="AGL21" s="47"/>
      <c r="AGM21" s="47"/>
      <c r="AGN21" s="47"/>
      <c r="AGO21" s="47"/>
      <c r="AGP21" s="47"/>
      <c r="AGQ21" s="47"/>
      <c r="AGR21" s="47"/>
      <c r="AGS21" s="47"/>
      <c r="AGT21" s="47"/>
      <c r="AGU21" s="47"/>
      <c r="AGV21" s="47"/>
      <c r="AGW21" s="47"/>
      <c r="AGX21" s="47"/>
      <c r="AGY21" s="47"/>
      <c r="AGZ21" s="47"/>
      <c r="AHA21" s="47"/>
      <c r="AHB21" s="47"/>
      <c r="AHC21" s="47"/>
      <c r="AHD21" s="47"/>
      <c r="AHE21" s="47"/>
      <c r="AHF21" s="47"/>
      <c r="AHG21" s="47"/>
      <c r="AHH21" s="47"/>
      <c r="AHI21" s="47"/>
      <c r="AHJ21" s="47"/>
      <c r="AHK21" s="47"/>
      <c r="AHL21" s="47"/>
      <c r="AHM21" s="47"/>
      <c r="AHN21" s="47"/>
      <c r="AHO21" s="47"/>
      <c r="AHP21" s="47"/>
      <c r="AHQ21" s="47"/>
      <c r="AHR21" s="47"/>
      <c r="AHS21" s="47"/>
      <c r="AHT21" s="47"/>
      <c r="AHU21" s="47"/>
      <c r="AHV21" s="47"/>
      <c r="AHW21" s="47"/>
      <c r="AHX21" s="47"/>
      <c r="AHY21" s="47"/>
      <c r="AHZ21" s="47"/>
      <c r="AIA21" s="47"/>
      <c r="AIB21" s="47"/>
      <c r="AIC21" s="47"/>
      <c r="AID21" s="47"/>
      <c r="AIE21" s="47"/>
      <c r="AIF21" s="47"/>
      <c r="AIG21" s="47"/>
      <c r="AIH21" s="47"/>
      <c r="AII21" s="47"/>
      <c r="AIJ21" s="47"/>
      <c r="AIK21" s="47"/>
      <c r="AIL21" s="47"/>
      <c r="AIM21" s="47"/>
      <c r="AIN21" s="47"/>
      <c r="AIO21" s="47"/>
      <c r="AIP21" s="47"/>
      <c r="AIQ21" s="47"/>
      <c r="AIR21" s="47"/>
      <c r="AIS21" s="47"/>
      <c r="AIT21" s="47"/>
      <c r="AIU21" s="47"/>
      <c r="AIV21" s="47"/>
      <c r="AIW21" s="47"/>
      <c r="AIX21" s="47"/>
      <c r="AIY21" s="47"/>
      <c r="AIZ21" s="47"/>
      <c r="AJA21" s="47"/>
      <c r="AJB21" s="47"/>
      <c r="AJC21" s="47"/>
      <c r="AJD21" s="47"/>
      <c r="AJE21" s="47"/>
      <c r="AJF21" s="47"/>
      <c r="AJG21" s="47"/>
      <c r="AJH21" s="47"/>
      <c r="AJI21" s="47"/>
      <c r="AJJ21" s="47"/>
      <c r="AJK21" s="47"/>
      <c r="AJL21" s="47"/>
      <c r="AJM21" s="47"/>
      <c r="AJN21" s="47"/>
      <c r="AJO21" s="47"/>
      <c r="AJP21" s="47"/>
      <c r="AJQ21" s="47"/>
      <c r="AJR21" s="47"/>
      <c r="AJS21" s="47"/>
      <c r="AJT21" s="47"/>
      <c r="AJU21" s="47"/>
      <c r="AJV21" s="47"/>
      <c r="AJW21" s="47"/>
      <c r="AJX21" s="47"/>
      <c r="AJY21" s="47"/>
      <c r="AJZ21" s="47"/>
      <c r="AKA21" s="47"/>
      <c r="AKB21" s="47"/>
      <c r="AKC21" s="47"/>
      <c r="AKD21" s="47"/>
      <c r="AKE21" s="47"/>
      <c r="AKF21" s="47"/>
      <c r="AKG21" s="47"/>
      <c r="AKH21" s="47"/>
      <c r="AKI21" s="47"/>
      <c r="AKJ21" s="47"/>
      <c r="AKK21" s="47"/>
      <c r="AKL21" s="47"/>
      <c r="AKM21" s="47"/>
      <c r="AKN21" s="47"/>
      <c r="AKO21" s="47"/>
      <c r="AKP21" s="47"/>
      <c r="AKQ21" s="47"/>
      <c r="AKR21" s="47"/>
      <c r="AKS21" s="47"/>
      <c r="AKT21" s="47"/>
      <c r="AKU21" s="47"/>
      <c r="AKV21" s="47"/>
      <c r="AKW21" s="47"/>
      <c r="AKX21" s="47"/>
      <c r="AKY21" s="47"/>
      <c r="AKZ21" s="47"/>
      <c r="ALA21" s="47"/>
      <c r="ALB21" s="47"/>
      <c r="ALC21" s="47"/>
      <c r="ALD21" s="47"/>
      <c r="ALE21" s="47"/>
      <c r="ALF21" s="47"/>
      <c r="ALG21" s="47"/>
      <c r="ALH21" s="47"/>
      <c r="ALI21" s="47"/>
      <c r="ALJ21" s="47"/>
      <c r="ALK21" s="47"/>
      <c r="ALL21" s="47"/>
      <c r="ALM21" s="47"/>
      <c r="ALN21" s="47"/>
      <c r="ALO21" s="47"/>
      <c r="ALP21" s="47"/>
      <c r="ALQ21" s="47"/>
      <c r="ALR21" s="47"/>
      <c r="ALS21" s="47"/>
      <c r="ALT21" s="47"/>
      <c r="ALU21" s="47"/>
      <c r="ALV21" s="47"/>
      <c r="ALW21" s="47"/>
      <c r="ALX21" s="47"/>
      <c r="ALY21" s="47"/>
      <c r="ALZ21" s="47"/>
      <c r="AMA21" s="47"/>
      <c r="AMB21" s="47"/>
      <c r="AMC21" s="47"/>
      <c r="AMD21" s="47"/>
      <c r="AME21" s="47"/>
      <c r="AMF21" s="47"/>
      <c r="AMG21" s="47"/>
      <c r="AMH21" s="47"/>
      <c r="AMI21" s="47"/>
      <c r="AMJ21" s="47"/>
    </row>
    <row r="22" spans="1:1024" s="85" customFormat="1" ht="11.25" customHeight="1" x14ac:dyDescent="0.3">
      <c r="A22" s="38" t="s">
        <v>140</v>
      </c>
      <c r="B22" s="38" t="s">
        <v>108</v>
      </c>
      <c r="C22" s="57" t="s">
        <v>154</v>
      </c>
      <c r="D22" s="46"/>
      <c r="E22" s="46">
        <v>45680</v>
      </c>
      <c r="F22" s="46">
        <v>45680</v>
      </c>
      <c r="G22" s="38" t="s">
        <v>376</v>
      </c>
      <c r="H22" s="39" t="s">
        <v>141</v>
      </c>
      <c r="I22" s="39" t="s">
        <v>113</v>
      </c>
      <c r="J22" s="39" t="s">
        <v>113</v>
      </c>
      <c r="K22" s="57" t="s">
        <v>413</v>
      </c>
      <c r="L22" s="57" t="s">
        <v>414</v>
      </c>
      <c r="M22" s="38" t="s">
        <v>176</v>
      </c>
      <c r="N22" s="57" t="s">
        <v>142</v>
      </c>
      <c r="O22" s="89" t="s">
        <v>246</v>
      </c>
      <c r="P22" s="57" t="s">
        <v>434</v>
      </c>
      <c r="Q22" s="46">
        <v>33838</v>
      </c>
      <c r="R22" s="47"/>
      <c r="S22" s="47"/>
      <c r="T22" s="47"/>
      <c r="U22" s="47"/>
      <c r="V22" s="47" t="s">
        <v>365</v>
      </c>
      <c r="W22" s="46">
        <v>45680</v>
      </c>
      <c r="X22" s="83">
        <v>0.8125</v>
      </c>
      <c r="Y22" s="57" t="s">
        <v>457</v>
      </c>
      <c r="Z22" s="46">
        <v>45680</v>
      </c>
      <c r="AA22" s="47" t="s">
        <v>458</v>
      </c>
      <c r="AB22" s="47" t="s">
        <v>437</v>
      </c>
      <c r="AC22" s="45">
        <v>45681</v>
      </c>
      <c r="AD22" s="87" t="s">
        <v>449</v>
      </c>
      <c r="AE22" s="40" t="s">
        <v>465</v>
      </c>
      <c r="AF22" s="40" t="s">
        <v>128</v>
      </c>
      <c r="AG22" s="47" t="s">
        <v>125</v>
      </c>
      <c r="AH22" s="47" t="s">
        <v>126</v>
      </c>
      <c r="AI22" s="84" t="s">
        <v>123</v>
      </c>
      <c r="AJ22" s="47" t="s">
        <v>124</v>
      </c>
      <c r="AK22" s="58">
        <v>3</v>
      </c>
      <c r="AL22" s="79" t="s">
        <v>143</v>
      </c>
      <c r="AM22" s="86"/>
      <c r="AN22" s="86"/>
      <c r="AO22" s="38"/>
      <c r="AP22" s="47" t="s">
        <v>143</v>
      </c>
      <c r="AQ22" s="79" t="s">
        <v>143</v>
      </c>
      <c r="AR22" s="86"/>
      <c r="AS22" s="86"/>
      <c r="AT22" s="47"/>
      <c r="AU22" s="57" t="s">
        <v>143</v>
      </c>
      <c r="AV22" s="79" t="s">
        <v>143</v>
      </c>
      <c r="AW22" s="86"/>
      <c r="AX22" s="86"/>
      <c r="AY22" s="47"/>
      <c r="AZ22" s="47" t="s">
        <v>143</v>
      </c>
      <c r="BA22" s="38" t="s">
        <v>374</v>
      </c>
      <c r="BB22" s="38" t="s">
        <v>373</v>
      </c>
      <c r="BC22" s="39" t="s">
        <v>374</v>
      </c>
      <c r="BD22" s="41" t="s">
        <v>375</v>
      </c>
      <c r="BE22" s="41">
        <f t="shared" si="0"/>
        <v>45680</v>
      </c>
      <c r="BF22" s="83">
        <v>0.66666666666666663</v>
      </c>
      <c r="BG22" s="38" t="s">
        <v>374</v>
      </c>
      <c r="BH22" s="38" t="s">
        <v>372</v>
      </c>
      <c r="BI22" s="45" t="s">
        <v>374</v>
      </c>
      <c r="BJ22" s="45" t="s">
        <v>375</v>
      </c>
      <c r="BK22" s="45">
        <v>45679</v>
      </c>
      <c r="BL22" s="83">
        <v>0.16666666666666799</v>
      </c>
      <c r="BM22" s="39" t="s">
        <v>143</v>
      </c>
      <c r="BN22" s="41"/>
      <c r="BO22" s="39"/>
      <c r="BP22" s="38"/>
      <c r="BQ22" s="41"/>
      <c r="BR22" s="83"/>
      <c r="BS22" s="41" t="s">
        <v>143</v>
      </c>
      <c r="BT22" s="41"/>
      <c r="BU22" s="41"/>
      <c r="BV22" s="41"/>
      <c r="BW22" s="41"/>
      <c r="BX22" s="83"/>
      <c r="BY22" s="38"/>
      <c r="BZ22" s="47"/>
      <c r="CA22" s="86"/>
      <c r="CB22" s="86"/>
      <c r="CC22" s="47"/>
      <c r="CD22" s="47"/>
      <c r="CE22" s="86"/>
      <c r="CF22" s="86"/>
      <c r="CG22" s="47"/>
      <c r="CH22" s="47"/>
      <c r="CI22" s="47"/>
      <c r="CJ22" s="47"/>
      <c r="CK22" s="47"/>
      <c r="CL22" s="38"/>
      <c r="CM22" s="38"/>
      <c r="CN22" s="38"/>
      <c r="CO22" s="59"/>
      <c r="CP22" s="38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47"/>
      <c r="GO22" s="47"/>
      <c r="GP22" s="47"/>
      <c r="GQ22" s="47"/>
      <c r="GR22" s="47"/>
      <c r="GS22" s="47"/>
      <c r="GT22" s="47"/>
      <c r="GU22" s="47"/>
      <c r="GV22" s="47"/>
      <c r="GW22" s="47"/>
      <c r="GX22" s="47"/>
      <c r="GY22" s="47"/>
      <c r="GZ22" s="47"/>
      <c r="HA22" s="47"/>
      <c r="HB22" s="47"/>
      <c r="HC22" s="47"/>
      <c r="HD22" s="47"/>
      <c r="HE22" s="47"/>
      <c r="HF22" s="47"/>
      <c r="HG22" s="47"/>
      <c r="HH22" s="47"/>
      <c r="HI22" s="47"/>
      <c r="HJ22" s="47"/>
      <c r="HK22" s="47"/>
      <c r="HL22" s="47"/>
      <c r="HM22" s="47"/>
      <c r="HN22" s="47"/>
      <c r="HO22" s="47"/>
      <c r="HP22" s="47"/>
      <c r="HQ22" s="47"/>
      <c r="HR22" s="47"/>
      <c r="HS22" s="47"/>
      <c r="HT22" s="47"/>
      <c r="HU22" s="47"/>
      <c r="HV22" s="47"/>
      <c r="HW22" s="47"/>
      <c r="HX22" s="47"/>
      <c r="HY22" s="47"/>
      <c r="HZ22" s="47"/>
      <c r="IA22" s="47"/>
      <c r="IB22" s="47"/>
      <c r="IC22" s="47"/>
      <c r="ID22" s="47"/>
      <c r="IE22" s="47"/>
      <c r="IF22" s="47"/>
      <c r="IG22" s="47"/>
      <c r="IH22" s="47"/>
      <c r="II22" s="47"/>
      <c r="IJ22" s="47"/>
      <c r="IK22" s="47"/>
      <c r="IL22" s="47"/>
      <c r="IM22" s="47"/>
      <c r="IN22" s="47"/>
      <c r="IO22" s="47"/>
      <c r="IP22" s="47"/>
      <c r="IQ22" s="47"/>
      <c r="IR22" s="47"/>
      <c r="IS22" s="47"/>
      <c r="IT22" s="47"/>
      <c r="IU22" s="47"/>
      <c r="IV22" s="47"/>
      <c r="IW22" s="47"/>
      <c r="IX22" s="47"/>
      <c r="IY22" s="47"/>
      <c r="IZ22" s="47"/>
      <c r="JA22" s="47"/>
      <c r="JB22" s="47"/>
      <c r="JC22" s="47"/>
      <c r="JD22" s="47"/>
      <c r="JE22" s="47"/>
      <c r="JF22" s="47"/>
      <c r="JG22" s="47"/>
      <c r="JH22" s="47"/>
      <c r="JI22" s="47"/>
      <c r="JJ22" s="47"/>
      <c r="JK22" s="47"/>
      <c r="JL22" s="47"/>
      <c r="JM22" s="47"/>
      <c r="JN22" s="47"/>
      <c r="JO22" s="47"/>
      <c r="JP22" s="47"/>
      <c r="JQ22" s="47"/>
      <c r="JR22" s="47"/>
      <c r="JS22" s="47"/>
      <c r="JT22" s="47"/>
      <c r="JU22" s="47"/>
      <c r="JV22" s="47"/>
      <c r="JW22" s="47"/>
      <c r="JX22" s="47"/>
      <c r="JY22" s="47"/>
      <c r="JZ22" s="47"/>
      <c r="KA22" s="47"/>
      <c r="KB22" s="47"/>
      <c r="KC22" s="47"/>
      <c r="KD22" s="47"/>
      <c r="KE22" s="47"/>
      <c r="KF22" s="47"/>
      <c r="KG22" s="47"/>
      <c r="KH22" s="47"/>
      <c r="KI22" s="47"/>
      <c r="KJ22" s="47"/>
      <c r="KK22" s="47"/>
      <c r="KL22" s="47"/>
      <c r="KM22" s="47"/>
      <c r="KN22" s="47"/>
      <c r="KO22" s="47"/>
      <c r="KP22" s="47"/>
      <c r="KQ22" s="47"/>
      <c r="KR22" s="47"/>
      <c r="KS22" s="47"/>
      <c r="KT22" s="47"/>
      <c r="KU22" s="47"/>
      <c r="KV22" s="47"/>
      <c r="KW22" s="47"/>
      <c r="KX22" s="47"/>
      <c r="KY22" s="47"/>
      <c r="KZ22" s="47"/>
      <c r="LA22" s="47"/>
      <c r="LB22" s="47"/>
      <c r="LC22" s="47"/>
      <c r="LD22" s="47"/>
      <c r="LE22" s="47"/>
      <c r="LF22" s="47"/>
      <c r="LG22" s="47"/>
      <c r="LH22" s="47"/>
      <c r="LI22" s="47"/>
      <c r="LJ22" s="47"/>
      <c r="LK22" s="47"/>
      <c r="LL22" s="47"/>
      <c r="LM22" s="47"/>
      <c r="LN22" s="47"/>
      <c r="LO22" s="47"/>
      <c r="LP22" s="47"/>
      <c r="LQ22" s="47"/>
      <c r="LR22" s="47"/>
      <c r="LS22" s="47"/>
      <c r="LT22" s="47"/>
      <c r="LU22" s="47"/>
      <c r="LV22" s="47"/>
      <c r="LW22" s="47"/>
      <c r="LX22" s="47"/>
      <c r="LY22" s="47"/>
      <c r="LZ22" s="47"/>
      <c r="MA22" s="47"/>
      <c r="MB22" s="47"/>
      <c r="MC22" s="47"/>
      <c r="MD22" s="47"/>
      <c r="ME22" s="47"/>
      <c r="MF22" s="47"/>
      <c r="MG22" s="47"/>
      <c r="MH22" s="47"/>
      <c r="MI22" s="47"/>
      <c r="MJ22" s="47"/>
      <c r="MK22" s="47"/>
      <c r="ML22" s="47"/>
      <c r="MM22" s="47"/>
      <c r="MN22" s="47"/>
      <c r="MO22" s="47"/>
      <c r="MP22" s="47"/>
      <c r="MQ22" s="47"/>
      <c r="MR22" s="47"/>
      <c r="MS22" s="47"/>
      <c r="MT22" s="47"/>
      <c r="MU22" s="47"/>
      <c r="MV22" s="47"/>
      <c r="MW22" s="47"/>
      <c r="MX22" s="47"/>
      <c r="MY22" s="47"/>
      <c r="MZ22" s="47"/>
      <c r="NA22" s="47"/>
      <c r="NB22" s="47"/>
      <c r="NC22" s="47"/>
      <c r="ND22" s="47"/>
      <c r="NE22" s="47"/>
      <c r="NF22" s="47"/>
      <c r="NG22" s="47"/>
      <c r="NH22" s="47"/>
      <c r="NI22" s="47"/>
      <c r="NJ22" s="47"/>
      <c r="NK22" s="47"/>
      <c r="NL22" s="47"/>
      <c r="NM22" s="47"/>
      <c r="NN22" s="47"/>
      <c r="NO22" s="47"/>
      <c r="NP22" s="47"/>
      <c r="NQ22" s="47"/>
      <c r="NR22" s="47"/>
      <c r="NS22" s="47"/>
      <c r="NT22" s="47"/>
      <c r="NU22" s="47"/>
      <c r="NV22" s="47"/>
      <c r="NW22" s="47"/>
      <c r="NX22" s="47"/>
      <c r="NY22" s="47"/>
      <c r="NZ22" s="47"/>
      <c r="OA22" s="47"/>
      <c r="OB22" s="47"/>
      <c r="OC22" s="47"/>
      <c r="OD22" s="47"/>
      <c r="OE22" s="47"/>
      <c r="OF22" s="47"/>
      <c r="OG22" s="47"/>
      <c r="OH22" s="47"/>
      <c r="OI22" s="47"/>
      <c r="OJ22" s="47"/>
      <c r="OK22" s="47"/>
      <c r="OL22" s="47"/>
      <c r="OM22" s="47"/>
      <c r="ON22" s="47"/>
      <c r="OO22" s="47"/>
      <c r="OP22" s="47"/>
      <c r="OQ22" s="47"/>
      <c r="OR22" s="47"/>
      <c r="OS22" s="47"/>
      <c r="OT22" s="47"/>
      <c r="OU22" s="47"/>
      <c r="OV22" s="47"/>
      <c r="OW22" s="47"/>
      <c r="OX22" s="47"/>
      <c r="OY22" s="47"/>
      <c r="OZ22" s="47"/>
      <c r="PA22" s="47"/>
      <c r="PB22" s="47"/>
      <c r="PC22" s="47"/>
      <c r="PD22" s="47"/>
      <c r="PE22" s="47"/>
      <c r="PF22" s="47"/>
      <c r="PG22" s="47"/>
      <c r="PH22" s="47"/>
      <c r="PI22" s="47"/>
      <c r="PJ22" s="47"/>
      <c r="PK22" s="47"/>
      <c r="PL22" s="47"/>
      <c r="PM22" s="47"/>
      <c r="PN22" s="47"/>
      <c r="PO22" s="47"/>
      <c r="PP22" s="47"/>
      <c r="PQ22" s="47"/>
      <c r="PR22" s="47"/>
      <c r="PS22" s="47"/>
      <c r="PT22" s="47"/>
      <c r="PU22" s="47"/>
      <c r="PV22" s="47"/>
      <c r="PW22" s="47"/>
      <c r="PX22" s="47"/>
      <c r="PY22" s="47"/>
      <c r="PZ22" s="47"/>
      <c r="QA22" s="47"/>
      <c r="QB22" s="47"/>
      <c r="QC22" s="47"/>
      <c r="QD22" s="47"/>
      <c r="QE22" s="47"/>
      <c r="QF22" s="47"/>
      <c r="QG22" s="47"/>
      <c r="QH22" s="47"/>
      <c r="QI22" s="47"/>
      <c r="QJ22" s="47"/>
      <c r="QK22" s="47"/>
      <c r="QL22" s="47"/>
      <c r="QM22" s="47"/>
      <c r="QN22" s="47"/>
      <c r="QO22" s="47"/>
      <c r="QP22" s="47"/>
      <c r="QQ22" s="47"/>
      <c r="QR22" s="47"/>
      <c r="QS22" s="47"/>
      <c r="QT22" s="47"/>
      <c r="QU22" s="47"/>
      <c r="QV22" s="47"/>
      <c r="QW22" s="47"/>
      <c r="QX22" s="47"/>
      <c r="QY22" s="47"/>
      <c r="QZ22" s="47"/>
      <c r="RA22" s="47"/>
      <c r="RB22" s="47"/>
      <c r="RC22" s="47"/>
      <c r="RD22" s="47"/>
      <c r="RE22" s="47"/>
      <c r="RF22" s="47"/>
      <c r="RG22" s="47"/>
      <c r="RH22" s="47"/>
      <c r="RI22" s="47"/>
      <c r="RJ22" s="47"/>
      <c r="RK22" s="47"/>
      <c r="RL22" s="47"/>
      <c r="RM22" s="47"/>
      <c r="RN22" s="47"/>
      <c r="RO22" s="47"/>
      <c r="RP22" s="47"/>
      <c r="RQ22" s="47"/>
      <c r="RR22" s="47"/>
      <c r="RS22" s="47"/>
      <c r="RT22" s="47"/>
      <c r="RU22" s="47"/>
      <c r="RV22" s="47"/>
      <c r="RW22" s="47"/>
      <c r="RX22" s="47"/>
      <c r="RY22" s="47"/>
      <c r="RZ22" s="47"/>
      <c r="SA22" s="47"/>
      <c r="SB22" s="47"/>
      <c r="SC22" s="47"/>
      <c r="SD22" s="47"/>
      <c r="SE22" s="47"/>
      <c r="SF22" s="47"/>
      <c r="SG22" s="47"/>
      <c r="SH22" s="47"/>
      <c r="SI22" s="47"/>
      <c r="SJ22" s="47"/>
      <c r="SK22" s="47"/>
      <c r="SL22" s="47"/>
      <c r="SM22" s="47"/>
      <c r="SN22" s="47"/>
      <c r="SO22" s="47"/>
      <c r="SP22" s="47"/>
      <c r="SQ22" s="47"/>
      <c r="SR22" s="47"/>
      <c r="SS22" s="47"/>
      <c r="ST22" s="47"/>
      <c r="SU22" s="47"/>
      <c r="SV22" s="47"/>
      <c r="SW22" s="47"/>
      <c r="SX22" s="47"/>
      <c r="SY22" s="47"/>
      <c r="SZ22" s="47"/>
      <c r="TA22" s="47"/>
      <c r="TB22" s="47"/>
      <c r="TC22" s="47"/>
      <c r="TD22" s="47"/>
      <c r="TE22" s="47"/>
      <c r="TF22" s="47"/>
      <c r="TG22" s="47"/>
      <c r="TH22" s="47"/>
      <c r="TI22" s="47"/>
      <c r="TJ22" s="47"/>
      <c r="TK22" s="47"/>
      <c r="TL22" s="47"/>
      <c r="TM22" s="47"/>
      <c r="TN22" s="47"/>
      <c r="TO22" s="47"/>
      <c r="TP22" s="47"/>
      <c r="TQ22" s="47"/>
      <c r="TR22" s="47"/>
      <c r="TS22" s="47"/>
      <c r="TT22" s="47"/>
      <c r="TU22" s="47"/>
      <c r="TV22" s="47"/>
      <c r="TW22" s="47"/>
      <c r="TX22" s="47"/>
      <c r="TY22" s="47"/>
      <c r="TZ22" s="47"/>
      <c r="UA22" s="47"/>
      <c r="UB22" s="47"/>
      <c r="UC22" s="47"/>
      <c r="UD22" s="47"/>
      <c r="UE22" s="47"/>
      <c r="UF22" s="47"/>
      <c r="UG22" s="47"/>
      <c r="UH22" s="47"/>
      <c r="UI22" s="47"/>
      <c r="UJ22" s="47"/>
      <c r="UK22" s="47"/>
      <c r="UL22" s="47"/>
      <c r="UM22" s="47"/>
      <c r="UN22" s="47"/>
      <c r="UO22" s="47"/>
      <c r="UP22" s="47"/>
      <c r="UQ22" s="47"/>
      <c r="UR22" s="47"/>
      <c r="US22" s="47"/>
      <c r="UT22" s="47"/>
      <c r="UU22" s="47"/>
      <c r="UV22" s="47"/>
      <c r="UW22" s="47"/>
      <c r="UX22" s="47"/>
      <c r="UY22" s="47"/>
      <c r="UZ22" s="47"/>
      <c r="VA22" s="47"/>
      <c r="VB22" s="47"/>
      <c r="VC22" s="47"/>
      <c r="VD22" s="47"/>
      <c r="VE22" s="47"/>
      <c r="VF22" s="47"/>
      <c r="VG22" s="47"/>
      <c r="VH22" s="47"/>
      <c r="VI22" s="47"/>
      <c r="VJ22" s="47"/>
      <c r="VK22" s="47"/>
      <c r="VL22" s="47"/>
      <c r="VM22" s="47"/>
      <c r="VN22" s="47"/>
      <c r="VO22" s="47"/>
      <c r="VP22" s="47"/>
      <c r="VQ22" s="47"/>
      <c r="VR22" s="47"/>
      <c r="VS22" s="47"/>
      <c r="VT22" s="47"/>
      <c r="VU22" s="47"/>
      <c r="VV22" s="47"/>
      <c r="VW22" s="47"/>
      <c r="VX22" s="47"/>
      <c r="VY22" s="47"/>
      <c r="VZ22" s="47"/>
      <c r="WA22" s="47"/>
      <c r="WB22" s="47"/>
      <c r="WC22" s="47"/>
      <c r="WD22" s="47"/>
      <c r="WE22" s="47"/>
      <c r="WF22" s="47"/>
      <c r="WG22" s="47"/>
      <c r="WH22" s="47"/>
      <c r="WI22" s="47"/>
      <c r="WJ22" s="47"/>
      <c r="WK22" s="47"/>
      <c r="WL22" s="47"/>
      <c r="WM22" s="47"/>
      <c r="WN22" s="47"/>
      <c r="WO22" s="47"/>
      <c r="WP22" s="47"/>
      <c r="WQ22" s="47"/>
      <c r="WR22" s="47"/>
      <c r="WS22" s="47"/>
      <c r="WT22" s="47"/>
      <c r="WU22" s="47"/>
      <c r="WV22" s="47"/>
      <c r="WW22" s="47"/>
      <c r="WX22" s="47"/>
      <c r="WY22" s="47"/>
      <c r="WZ22" s="47"/>
      <c r="XA22" s="47"/>
      <c r="XB22" s="47"/>
      <c r="XC22" s="47"/>
      <c r="XD22" s="47"/>
      <c r="XE22" s="47"/>
      <c r="XF22" s="47"/>
      <c r="XG22" s="47"/>
      <c r="XH22" s="47"/>
      <c r="XI22" s="47"/>
      <c r="XJ22" s="47"/>
      <c r="XK22" s="47"/>
      <c r="XL22" s="47"/>
      <c r="XM22" s="47"/>
      <c r="XN22" s="47"/>
      <c r="XO22" s="47"/>
      <c r="XP22" s="47"/>
      <c r="XQ22" s="47"/>
      <c r="XR22" s="47"/>
      <c r="XS22" s="47"/>
      <c r="XT22" s="47"/>
      <c r="XU22" s="47"/>
      <c r="XV22" s="47"/>
      <c r="XW22" s="47"/>
      <c r="XX22" s="47"/>
      <c r="XY22" s="47"/>
      <c r="XZ22" s="47"/>
      <c r="YA22" s="47"/>
      <c r="YB22" s="47"/>
      <c r="YC22" s="47"/>
      <c r="YD22" s="47"/>
      <c r="YE22" s="47"/>
      <c r="YF22" s="47"/>
      <c r="YG22" s="47"/>
      <c r="YH22" s="47"/>
      <c r="YI22" s="47"/>
      <c r="YJ22" s="47"/>
      <c r="YK22" s="47"/>
      <c r="YL22" s="47"/>
      <c r="YM22" s="47"/>
      <c r="YN22" s="47"/>
      <c r="YO22" s="47"/>
      <c r="YP22" s="47"/>
      <c r="YQ22" s="47"/>
      <c r="YR22" s="47"/>
      <c r="YS22" s="47"/>
      <c r="YT22" s="47"/>
      <c r="YU22" s="47"/>
      <c r="YV22" s="47"/>
      <c r="YW22" s="47"/>
      <c r="YX22" s="47"/>
      <c r="YY22" s="47"/>
      <c r="YZ22" s="47"/>
      <c r="ZA22" s="47"/>
      <c r="ZB22" s="47"/>
      <c r="ZC22" s="47"/>
      <c r="ZD22" s="47"/>
      <c r="ZE22" s="47"/>
      <c r="ZF22" s="47"/>
      <c r="ZG22" s="47"/>
      <c r="ZH22" s="47"/>
      <c r="ZI22" s="47"/>
      <c r="ZJ22" s="47"/>
      <c r="ZK22" s="47"/>
      <c r="ZL22" s="47"/>
      <c r="ZM22" s="47"/>
      <c r="ZN22" s="47"/>
      <c r="ZO22" s="47"/>
      <c r="ZP22" s="47"/>
      <c r="ZQ22" s="47"/>
      <c r="ZR22" s="47"/>
      <c r="ZS22" s="47"/>
      <c r="ZT22" s="47"/>
      <c r="ZU22" s="47"/>
      <c r="ZV22" s="47"/>
      <c r="ZW22" s="47"/>
      <c r="ZX22" s="47"/>
      <c r="ZY22" s="47"/>
      <c r="ZZ22" s="47"/>
      <c r="AAA22" s="47"/>
      <c r="AAB22" s="47"/>
      <c r="AAC22" s="47"/>
      <c r="AAD22" s="47"/>
      <c r="AAE22" s="47"/>
      <c r="AAF22" s="47"/>
      <c r="AAG22" s="47"/>
      <c r="AAH22" s="47"/>
      <c r="AAI22" s="47"/>
      <c r="AAJ22" s="47"/>
      <c r="AAK22" s="47"/>
      <c r="AAL22" s="47"/>
      <c r="AAM22" s="47"/>
      <c r="AAN22" s="47"/>
      <c r="AAO22" s="47"/>
      <c r="AAP22" s="47"/>
      <c r="AAQ22" s="47"/>
      <c r="AAR22" s="47"/>
      <c r="AAS22" s="47"/>
      <c r="AAT22" s="47"/>
      <c r="AAU22" s="47"/>
      <c r="AAV22" s="47"/>
      <c r="AAW22" s="47"/>
      <c r="AAX22" s="47"/>
      <c r="AAY22" s="47"/>
      <c r="AAZ22" s="47"/>
      <c r="ABA22" s="47"/>
      <c r="ABB22" s="47"/>
      <c r="ABC22" s="47"/>
      <c r="ABD22" s="47"/>
      <c r="ABE22" s="47"/>
      <c r="ABF22" s="47"/>
      <c r="ABG22" s="47"/>
      <c r="ABH22" s="47"/>
      <c r="ABI22" s="47"/>
      <c r="ABJ22" s="47"/>
      <c r="ABK22" s="47"/>
      <c r="ABL22" s="47"/>
      <c r="ABM22" s="47"/>
      <c r="ABN22" s="47"/>
      <c r="ABO22" s="47"/>
      <c r="ABP22" s="47"/>
      <c r="ABQ22" s="47"/>
      <c r="ABR22" s="47"/>
      <c r="ABS22" s="47"/>
      <c r="ABT22" s="47"/>
      <c r="ABU22" s="47"/>
      <c r="ABV22" s="47"/>
      <c r="ABW22" s="47"/>
      <c r="ABX22" s="47"/>
      <c r="ABY22" s="47"/>
      <c r="ABZ22" s="47"/>
      <c r="ACA22" s="47"/>
      <c r="ACB22" s="47"/>
      <c r="ACC22" s="47"/>
      <c r="ACD22" s="47"/>
      <c r="ACE22" s="47"/>
      <c r="ACF22" s="47"/>
      <c r="ACG22" s="47"/>
      <c r="ACH22" s="47"/>
      <c r="ACI22" s="47"/>
      <c r="ACJ22" s="47"/>
      <c r="ACK22" s="47"/>
      <c r="ACL22" s="47"/>
      <c r="ACM22" s="47"/>
      <c r="ACN22" s="47"/>
      <c r="ACO22" s="47"/>
      <c r="ACP22" s="47"/>
      <c r="ACQ22" s="47"/>
      <c r="ACR22" s="47"/>
      <c r="ACS22" s="47"/>
      <c r="ACT22" s="47"/>
      <c r="ACU22" s="47"/>
      <c r="ACV22" s="47"/>
      <c r="ACW22" s="47"/>
      <c r="ACX22" s="47"/>
      <c r="ACY22" s="47"/>
      <c r="ACZ22" s="47"/>
      <c r="ADA22" s="47"/>
      <c r="ADB22" s="47"/>
      <c r="ADC22" s="47"/>
      <c r="ADD22" s="47"/>
      <c r="ADE22" s="47"/>
      <c r="ADF22" s="47"/>
      <c r="ADG22" s="47"/>
      <c r="ADH22" s="47"/>
      <c r="ADI22" s="47"/>
      <c r="ADJ22" s="47"/>
      <c r="ADK22" s="47"/>
      <c r="ADL22" s="47"/>
      <c r="ADM22" s="47"/>
      <c r="ADN22" s="47"/>
      <c r="ADO22" s="47"/>
      <c r="ADP22" s="47"/>
      <c r="ADQ22" s="47"/>
      <c r="ADR22" s="47"/>
      <c r="ADS22" s="47"/>
      <c r="ADT22" s="47"/>
      <c r="ADU22" s="47"/>
      <c r="ADV22" s="47"/>
      <c r="ADW22" s="47"/>
      <c r="ADX22" s="47"/>
      <c r="ADY22" s="47"/>
      <c r="ADZ22" s="47"/>
      <c r="AEA22" s="47"/>
      <c r="AEB22" s="47"/>
      <c r="AEC22" s="47"/>
      <c r="AED22" s="47"/>
      <c r="AEE22" s="47"/>
      <c r="AEF22" s="47"/>
      <c r="AEG22" s="47"/>
      <c r="AEH22" s="47"/>
      <c r="AEI22" s="47"/>
      <c r="AEJ22" s="47"/>
      <c r="AEK22" s="47"/>
      <c r="AEL22" s="47"/>
      <c r="AEM22" s="47"/>
      <c r="AEN22" s="47"/>
      <c r="AEO22" s="47"/>
      <c r="AEP22" s="47"/>
      <c r="AEQ22" s="47"/>
      <c r="AER22" s="47"/>
      <c r="AES22" s="47"/>
      <c r="AET22" s="47"/>
      <c r="AEU22" s="47"/>
      <c r="AEV22" s="47"/>
      <c r="AEW22" s="47"/>
      <c r="AEX22" s="47"/>
      <c r="AEY22" s="47"/>
      <c r="AEZ22" s="47"/>
      <c r="AFA22" s="47"/>
      <c r="AFB22" s="47"/>
      <c r="AFC22" s="47"/>
      <c r="AFD22" s="47"/>
      <c r="AFE22" s="47"/>
      <c r="AFF22" s="47"/>
      <c r="AFG22" s="47"/>
      <c r="AFH22" s="47"/>
      <c r="AFI22" s="47"/>
      <c r="AFJ22" s="47"/>
      <c r="AFK22" s="47"/>
      <c r="AFL22" s="47"/>
      <c r="AFM22" s="47"/>
      <c r="AFN22" s="47"/>
      <c r="AFO22" s="47"/>
      <c r="AFP22" s="47"/>
      <c r="AFQ22" s="47"/>
      <c r="AFR22" s="47"/>
      <c r="AFS22" s="47"/>
      <c r="AFT22" s="47"/>
      <c r="AFU22" s="47"/>
      <c r="AFV22" s="47"/>
      <c r="AFW22" s="47"/>
      <c r="AFX22" s="47"/>
      <c r="AFY22" s="47"/>
      <c r="AFZ22" s="47"/>
      <c r="AGA22" s="47"/>
      <c r="AGB22" s="47"/>
      <c r="AGC22" s="47"/>
      <c r="AGD22" s="47"/>
      <c r="AGE22" s="47"/>
      <c r="AGF22" s="47"/>
      <c r="AGG22" s="47"/>
      <c r="AGH22" s="47"/>
      <c r="AGI22" s="47"/>
      <c r="AGJ22" s="47"/>
      <c r="AGK22" s="47"/>
      <c r="AGL22" s="47"/>
      <c r="AGM22" s="47"/>
      <c r="AGN22" s="47"/>
      <c r="AGO22" s="47"/>
      <c r="AGP22" s="47"/>
      <c r="AGQ22" s="47"/>
      <c r="AGR22" s="47"/>
      <c r="AGS22" s="47"/>
      <c r="AGT22" s="47"/>
      <c r="AGU22" s="47"/>
      <c r="AGV22" s="47"/>
      <c r="AGW22" s="47"/>
      <c r="AGX22" s="47"/>
      <c r="AGY22" s="47"/>
      <c r="AGZ22" s="47"/>
      <c r="AHA22" s="47"/>
      <c r="AHB22" s="47"/>
      <c r="AHC22" s="47"/>
      <c r="AHD22" s="47"/>
      <c r="AHE22" s="47"/>
      <c r="AHF22" s="47"/>
      <c r="AHG22" s="47"/>
      <c r="AHH22" s="47"/>
      <c r="AHI22" s="47"/>
      <c r="AHJ22" s="47"/>
      <c r="AHK22" s="47"/>
      <c r="AHL22" s="47"/>
      <c r="AHM22" s="47"/>
      <c r="AHN22" s="47"/>
      <c r="AHO22" s="47"/>
      <c r="AHP22" s="47"/>
      <c r="AHQ22" s="47"/>
      <c r="AHR22" s="47"/>
      <c r="AHS22" s="47"/>
      <c r="AHT22" s="47"/>
      <c r="AHU22" s="47"/>
      <c r="AHV22" s="47"/>
      <c r="AHW22" s="47"/>
      <c r="AHX22" s="47"/>
      <c r="AHY22" s="47"/>
      <c r="AHZ22" s="47"/>
      <c r="AIA22" s="47"/>
      <c r="AIB22" s="47"/>
      <c r="AIC22" s="47"/>
      <c r="AID22" s="47"/>
      <c r="AIE22" s="47"/>
      <c r="AIF22" s="47"/>
      <c r="AIG22" s="47"/>
      <c r="AIH22" s="47"/>
      <c r="AII22" s="47"/>
      <c r="AIJ22" s="47"/>
      <c r="AIK22" s="47"/>
      <c r="AIL22" s="47"/>
      <c r="AIM22" s="47"/>
      <c r="AIN22" s="47"/>
      <c r="AIO22" s="47"/>
      <c r="AIP22" s="47"/>
      <c r="AIQ22" s="47"/>
      <c r="AIR22" s="47"/>
      <c r="AIS22" s="47"/>
      <c r="AIT22" s="47"/>
      <c r="AIU22" s="47"/>
      <c r="AIV22" s="47"/>
      <c r="AIW22" s="47"/>
      <c r="AIX22" s="47"/>
      <c r="AIY22" s="47"/>
      <c r="AIZ22" s="47"/>
      <c r="AJA22" s="47"/>
      <c r="AJB22" s="47"/>
      <c r="AJC22" s="47"/>
      <c r="AJD22" s="47"/>
      <c r="AJE22" s="47"/>
      <c r="AJF22" s="47"/>
      <c r="AJG22" s="47"/>
      <c r="AJH22" s="47"/>
      <c r="AJI22" s="47"/>
      <c r="AJJ22" s="47"/>
      <c r="AJK22" s="47"/>
      <c r="AJL22" s="47"/>
      <c r="AJM22" s="47"/>
      <c r="AJN22" s="47"/>
      <c r="AJO22" s="47"/>
      <c r="AJP22" s="47"/>
      <c r="AJQ22" s="47"/>
      <c r="AJR22" s="47"/>
      <c r="AJS22" s="47"/>
      <c r="AJT22" s="47"/>
      <c r="AJU22" s="47"/>
      <c r="AJV22" s="47"/>
      <c r="AJW22" s="47"/>
      <c r="AJX22" s="47"/>
      <c r="AJY22" s="47"/>
      <c r="AJZ22" s="47"/>
      <c r="AKA22" s="47"/>
      <c r="AKB22" s="47"/>
      <c r="AKC22" s="47"/>
      <c r="AKD22" s="47"/>
      <c r="AKE22" s="47"/>
      <c r="AKF22" s="47"/>
      <c r="AKG22" s="47"/>
      <c r="AKH22" s="47"/>
      <c r="AKI22" s="47"/>
      <c r="AKJ22" s="47"/>
      <c r="AKK22" s="47"/>
      <c r="AKL22" s="47"/>
      <c r="AKM22" s="47"/>
      <c r="AKN22" s="47"/>
      <c r="AKO22" s="47"/>
      <c r="AKP22" s="47"/>
      <c r="AKQ22" s="47"/>
      <c r="AKR22" s="47"/>
      <c r="AKS22" s="47"/>
      <c r="AKT22" s="47"/>
      <c r="AKU22" s="47"/>
      <c r="AKV22" s="47"/>
      <c r="AKW22" s="47"/>
      <c r="AKX22" s="47"/>
      <c r="AKY22" s="47"/>
      <c r="AKZ22" s="47"/>
      <c r="ALA22" s="47"/>
      <c r="ALB22" s="47"/>
      <c r="ALC22" s="47"/>
      <c r="ALD22" s="47"/>
      <c r="ALE22" s="47"/>
      <c r="ALF22" s="47"/>
      <c r="ALG22" s="47"/>
      <c r="ALH22" s="47"/>
      <c r="ALI22" s="47"/>
      <c r="ALJ22" s="47"/>
      <c r="ALK22" s="47"/>
      <c r="ALL22" s="47"/>
      <c r="ALM22" s="47"/>
      <c r="ALN22" s="47"/>
      <c r="ALO22" s="47"/>
      <c r="ALP22" s="47"/>
      <c r="ALQ22" s="47"/>
      <c r="ALR22" s="47"/>
      <c r="ALS22" s="47"/>
      <c r="ALT22" s="47"/>
      <c r="ALU22" s="47"/>
      <c r="ALV22" s="47"/>
      <c r="ALW22" s="47"/>
      <c r="ALX22" s="47"/>
      <c r="ALY22" s="47"/>
      <c r="ALZ22" s="47"/>
      <c r="AMA22" s="47"/>
      <c r="AMB22" s="47"/>
      <c r="AMC22" s="47"/>
      <c r="AMD22" s="47"/>
      <c r="AME22" s="47"/>
      <c r="AMF22" s="47"/>
      <c r="AMG22" s="47"/>
      <c r="AMH22" s="47"/>
      <c r="AMI22" s="47"/>
      <c r="AMJ22" s="47"/>
    </row>
    <row r="23" spans="1:1024" s="85" customFormat="1" ht="11.25" customHeight="1" x14ac:dyDescent="0.3">
      <c r="A23" s="38" t="s">
        <v>140</v>
      </c>
      <c r="B23" s="38" t="s">
        <v>108</v>
      </c>
      <c r="C23" s="57" t="s">
        <v>154</v>
      </c>
      <c r="D23" s="46"/>
      <c r="E23" s="46">
        <v>45680</v>
      </c>
      <c r="F23" s="46">
        <v>45680</v>
      </c>
      <c r="G23" s="38" t="s">
        <v>376</v>
      </c>
      <c r="H23" s="39" t="s">
        <v>141</v>
      </c>
      <c r="I23" s="39" t="s">
        <v>113</v>
      </c>
      <c r="J23" s="39" t="s">
        <v>113</v>
      </c>
      <c r="K23" s="57" t="s">
        <v>377</v>
      </c>
      <c r="L23" s="57" t="s">
        <v>415</v>
      </c>
      <c r="M23" s="38" t="s">
        <v>368</v>
      </c>
      <c r="N23" s="57" t="s">
        <v>235</v>
      </c>
      <c r="O23" s="89" t="s">
        <v>237</v>
      </c>
      <c r="P23" s="57" t="s">
        <v>435</v>
      </c>
      <c r="Q23" s="46">
        <v>36201</v>
      </c>
      <c r="R23" s="47"/>
      <c r="S23" s="47"/>
      <c r="T23" s="47"/>
      <c r="U23" s="47"/>
      <c r="V23" s="47" t="s">
        <v>365</v>
      </c>
      <c r="W23" s="46">
        <v>45680</v>
      </c>
      <c r="X23" s="83">
        <v>0.8125</v>
      </c>
      <c r="Y23" s="57" t="s">
        <v>457</v>
      </c>
      <c r="Z23" s="46">
        <v>45680</v>
      </c>
      <c r="AA23" s="47" t="s">
        <v>458</v>
      </c>
      <c r="AB23" s="47" t="s">
        <v>436</v>
      </c>
      <c r="AC23" s="45">
        <v>45681</v>
      </c>
      <c r="AD23" s="87" t="s">
        <v>445</v>
      </c>
      <c r="AE23" s="40" t="s">
        <v>465</v>
      </c>
      <c r="AF23" s="40" t="s">
        <v>128</v>
      </c>
      <c r="AG23" s="47" t="s">
        <v>125</v>
      </c>
      <c r="AH23" s="47" t="s">
        <v>126</v>
      </c>
      <c r="AI23" s="84" t="s">
        <v>123</v>
      </c>
      <c r="AJ23" s="47" t="s">
        <v>124</v>
      </c>
      <c r="AK23" s="58">
        <v>2</v>
      </c>
      <c r="AL23" s="79" t="s">
        <v>143</v>
      </c>
      <c r="AM23" s="86"/>
      <c r="AN23" s="86"/>
      <c r="AO23" s="38"/>
      <c r="AP23" s="47" t="s">
        <v>143</v>
      </c>
      <c r="AQ23" s="79" t="s">
        <v>143</v>
      </c>
      <c r="AR23" s="86"/>
      <c r="AS23" s="86"/>
      <c r="AT23" s="47"/>
      <c r="AU23" s="57" t="s">
        <v>143</v>
      </c>
      <c r="AV23" s="79" t="s">
        <v>464</v>
      </c>
      <c r="AW23" s="86">
        <v>45680</v>
      </c>
      <c r="AX23" s="86">
        <v>45681</v>
      </c>
      <c r="AY23" s="47" t="s">
        <v>367</v>
      </c>
      <c r="AZ23" s="47" t="s">
        <v>472</v>
      </c>
      <c r="BA23" s="38" t="s">
        <v>374</v>
      </c>
      <c r="BB23" s="38" t="s">
        <v>373</v>
      </c>
      <c r="BC23" s="39" t="s">
        <v>374</v>
      </c>
      <c r="BD23" s="41" t="s">
        <v>375</v>
      </c>
      <c r="BE23" s="41">
        <f t="shared" si="0"/>
        <v>45680</v>
      </c>
      <c r="BF23" s="83">
        <v>0.70833333333333337</v>
      </c>
      <c r="BG23" s="38" t="s">
        <v>374</v>
      </c>
      <c r="BH23" s="38" t="s">
        <v>372</v>
      </c>
      <c r="BI23" s="45" t="s">
        <v>374</v>
      </c>
      <c r="BJ23" s="45" t="s">
        <v>375</v>
      </c>
      <c r="BK23" s="45">
        <v>45679</v>
      </c>
      <c r="BL23" s="83">
        <v>0.20833333333333401</v>
      </c>
      <c r="BM23" s="39" t="s">
        <v>143</v>
      </c>
      <c r="BN23" s="41"/>
      <c r="BO23" s="39"/>
      <c r="BP23" s="38"/>
      <c r="BQ23" s="41"/>
      <c r="BR23" s="83"/>
      <c r="BS23" s="41" t="s">
        <v>143</v>
      </c>
      <c r="BT23" s="41"/>
      <c r="BU23" s="41"/>
      <c r="BV23" s="41"/>
      <c r="BW23" s="41"/>
      <c r="BX23" s="83"/>
      <c r="BY23" s="38"/>
      <c r="BZ23" s="47"/>
      <c r="CA23" s="86"/>
      <c r="CB23" s="86"/>
      <c r="CC23" s="47"/>
      <c r="CD23" s="47"/>
      <c r="CE23" s="86"/>
      <c r="CF23" s="86"/>
      <c r="CG23" s="47"/>
      <c r="CH23" s="47"/>
      <c r="CI23" s="47"/>
      <c r="CJ23" s="47"/>
      <c r="CK23" s="47"/>
      <c r="CL23" s="38"/>
      <c r="CM23" s="38"/>
      <c r="CN23" s="38"/>
      <c r="CO23" s="59"/>
      <c r="CP23" s="38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47"/>
      <c r="GO23" s="47"/>
      <c r="GP23" s="47"/>
      <c r="GQ23" s="47"/>
      <c r="GR23" s="47"/>
      <c r="GS23" s="47"/>
      <c r="GT23" s="47"/>
      <c r="GU23" s="47"/>
      <c r="GV23" s="47"/>
      <c r="GW23" s="47"/>
      <c r="GX23" s="47"/>
      <c r="GY23" s="47"/>
      <c r="GZ23" s="47"/>
      <c r="HA23" s="47"/>
      <c r="HB23" s="47"/>
      <c r="HC23" s="47"/>
      <c r="HD23" s="47"/>
      <c r="HE23" s="47"/>
      <c r="HF23" s="47"/>
      <c r="HG23" s="47"/>
      <c r="HH23" s="47"/>
      <c r="HI23" s="47"/>
      <c r="HJ23" s="47"/>
      <c r="HK23" s="47"/>
      <c r="HL23" s="47"/>
      <c r="HM23" s="47"/>
      <c r="HN23" s="47"/>
      <c r="HO23" s="47"/>
      <c r="HP23" s="47"/>
      <c r="HQ23" s="47"/>
      <c r="HR23" s="47"/>
      <c r="HS23" s="47"/>
      <c r="HT23" s="47"/>
      <c r="HU23" s="47"/>
      <c r="HV23" s="47"/>
      <c r="HW23" s="47"/>
      <c r="HX23" s="47"/>
      <c r="HY23" s="47"/>
      <c r="HZ23" s="47"/>
      <c r="IA23" s="47"/>
      <c r="IB23" s="47"/>
      <c r="IC23" s="47"/>
      <c r="ID23" s="47"/>
      <c r="IE23" s="47"/>
      <c r="IF23" s="47"/>
      <c r="IG23" s="47"/>
      <c r="IH23" s="47"/>
      <c r="II23" s="47"/>
      <c r="IJ23" s="47"/>
      <c r="IK23" s="47"/>
      <c r="IL23" s="47"/>
      <c r="IM23" s="47"/>
      <c r="IN23" s="47"/>
      <c r="IO23" s="47"/>
      <c r="IP23" s="47"/>
      <c r="IQ23" s="47"/>
      <c r="IR23" s="47"/>
      <c r="IS23" s="47"/>
      <c r="IT23" s="47"/>
      <c r="IU23" s="47"/>
      <c r="IV23" s="47"/>
      <c r="IW23" s="47"/>
      <c r="IX23" s="47"/>
      <c r="IY23" s="47"/>
      <c r="IZ23" s="47"/>
      <c r="JA23" s="47"/>
      <c r="JB23" s="47"/>
      <c r="JC23" s="47"/>
      <c r="JD23" s="47"/>
      <c r="JE23" s="47"/>
      <c r="JF23" s="47"/>
      <c r="JG23" s="47"/>
      <c r="JH23" s="47"/>
      <c r="JI23" s="47"/>
      <c r="JJ23" s="47"/>
      <c r="JK23" s="47"/>
      <c r="JL23" s="47"/>
      <c r="JM23" s="47"/>
      <c r="JN23" s="47"/>
      <c r="JO23" s="47"/>
      <c r="JP23" s="47"/>
      <c r="JQ23" s="47"/>
      <c r="JR23" s="47"/>
      <c r="JS23" s="47"/>
      <c r="JT23" s="47"/>
      <c r="JU23" s="47"/>
      <c r="JV23" s="47"/>
      <c r="JW23" s="47"/>
      <c r="JX23" s="47"/>
      <c r="JY23" s="47"/>
      <c r="JZ23" s="47"/>
      <c r="KA23" s="47"/>
      <c r="KB23" s="47"/>
      <c r="KC23" s="47"/>
      <c r="KD23" s="47"/>
      <c r="KE23" s="47"/>
      <c r="KF23" s="47"/>
      <c r="KG23" s="47"/>
      <c r="KH23" s="47"/>
      <c r="KI23" s="47"/>
      <c r="KJ23" s="47"/>
      <c r="KK23" s="47"/>
      <c r="KL23" s="47"/>
      <c r="KM23" s="47"/>
      <c r="KN23" s="47"/>
      <c r="KO23" s="47"/>
      <c r="KP23" s="47"/>
      <c r="KQ23" s="47"/>
      <c r="KR23" s="47"/>
      <c r="KS23" s="47"/>
      <c r="KT23" s="47"/>
      <c r="KU23" s="47"/>
      <c r="KV23" s="47"/>
      <c r="KW23" s="47"/>
      <c r="KX23" s="47"/>
      <c r="KY23" s="47"/>
      <c r="KZ23" s="47"/>
      <c r="LA23" s="47"/>
      <c r="LB23" s="47"/>
      <c r="LC23" s="47"/>
      <c r="LD23" s="47"/>
      <c r="LE23" s="47"/>
      <c r="LF23" s="47"/>
      <c r="LG23" s="47"/>
      <c r="LH23" s="47"/>
      <c r="LI23" s="47"/>
      <c r="LJ23" s="47"/>
      <c r="LK23" s="47"/>
      <c r="LL23" s="47"/>
      <c r="LM23" s="47"/>
      <c r="LN23" s="47"/>
      <c r="LO23" s="47"/>
      <c r="LP23" s="47"/>
      <c r="LQ23" s="47"/>
      <c r="LR23" s="47"/>
      <c r="LS23" s="47"/>
      <c r="LT23" s="47"/>
      <c r="LU23" s="47"/>
      <c r="LV23" s="47"/>
      <c r="LW23" s="47"/>
      <c r="LX23" s="47"/>
      <c r="LY23" s="47"/>
      <c r="LZ23" s="47"/>
      <c r="MA23" s="47"/>
      <c r="MB23" s="47"/>
      <c r="MC23" s="47"/>
      <c r="MD23" s="47"/>
      <c r="ME23" s="47"/>
      <c r="MF23" s="47"/>
      <c r="MG23" s="47"/>
      <c r="MH23" s="47"/>
      <c r="MI23" s="47"/>
      <c r="MJ23" s="47"/>
      <c r="MK23" s="47"/>
      <c r="ML23" s="47"/>
      <c r="MM23" s="47"/>
      <c r="MN23" s="47"/>
      <c r="MO23" s="47"/>
      <c r="MP23" s="47"/>
      <c r="MQ23" s="47"/>
      <c r="MR23" s="47"/>
      <c r="MS23" s="47"/>
      <c r="MT23" s="47"/>
      <c r="MU23" s="47"/>
      <c r="MV23" s="47"/>
      <c r="MW23" s="47"/>
      <c r="MX23" s="47"/>
      <c r="MY23" s="47"/>
      <c r="MZ23" s="47"/>
      <c r="NA23" s="47"/>
      <c r="NB23" s="47"/>
      <c r="NC23" s="47"/>
      <c r="ND23" s="47"/>
      <c r="NE23" s="47"/>
      <c r="NF23" s="47"/>
      <c r="NG23" s="47"/>
      <c r="NH23" s="47"/>
      <c r="NI23" s="47"/>
      <c r="NJ23" s="47"/>
      <c r="NK23" s="47"/>
      <c r="NL23" s="47"/>
      <c r="NM23" s="47"/>
      <c r="NN23" s="47"/>
      <c r="NO23" s="47"/>
      <c r="NP23" s="47"/>
      <c r="NQ23" s="47"/>
      <c r="NR23" s="47"/>
      <c r="NS23" s="47"/>
      <c r="NT23" s="47"/>
      <c r="NU23" s="47"/>
      <c r="NV23" s="47"/>
      <c r="NW23" s="47"/>
      <c r="NX23" s="47"/>
      <c r="NY23" s="47"/>
      <c r="NZ23" s="47"/>
      <c r="OA23" s="47"/>
      <c r="OB23" s="47"/>
      <c r="OC23" s="47"/>
      <c r="OD23" s="47"/>
      <c r="OE23" s="47"/>
      <c r="OF23" s="47"/>
      <c r="OG23" s="47"/>
      <c r="OH23" s="47"/>
      <c r="OI23" s="47"/>
      <c r="OJ23" s="47"/>
      <c r="OK23" s="47"/>
      <c r="OL23" s="47"/>
      <c r="OM23" s="47"/>
      <c r="ON23" s="47"/>
      <c r="OO23" s="47"/>
      <c r="OP23" s="47"/>
      <c r="OQ23" s="47"/>
      <c r="OR23" s="47"/>
      <c r="OS23" s="47"/>
      <c r="OT23" s="47"/>
      <c r="OU23" s="47"/>
      <c r="OV23" s="47"/>
      <c r="OW23" s="47"/>
      <c r="OX23" s="47"/>
      <c r="OY23" s="47"/>
      <c r="OZ23" s="47"/>
      <c r="PA23" s="47"/>
      <c r="PB23" s="47"/>
      <c r="PC23" s="47"/>
      <c r="PD23" s="47"/>
      <c r="PE23" s="47"/>
      <c r="PF23" s="47"/>
      <c r="PG23" s="47"/>
      <c r="PH23" s="47"/>
      <c r="PI23" s="47"/>
      <c r="PJ23" s="47"/>
      <c r="PK23" s="47"/>
      <c r="PL23" s="47"/>
      <c r="PM23" s="47"/>
      <c r="PN23" s="47"/>
      <c r="PO23" s="47"/>
      <c r="PP23" s="47"/>
      <c r="PQ23" s="47"/>
      <c r="PR23" s="47"/>
      <c r="PS23" s="47"/>
      <c r="PT23" s="47"/>
      <c r="PU23" s="47"/>
      <c r="PV23" s="47"/>
      <c r="PW23" s="47"/>
      <c r="PX23" s="47"/>
      <c r="PY23" s="47"/>
      <c r="PZ23" s="47"/>
      <c r="QA23" s="47"/>
      <c r="QB23" s="47"/>
      <c r="QC23" s="47"/>
      <c r="QD23" s="47"/>
      <c r="QE23" s="47"/>
      <c r="QF23" s="47"/>
      <c r="QG23" s="47"/>
      <c r="QH23" s="47"/>
      <c r="QI23" s="47"/>
      <c r="QJ23" s="47"/>
      <c r="QK23" s="47"/>
      <c r="QL23" s="47"/>
      <c r="QM23" s="47"/>
      <c r="QN23" s="47"/>
      <c r="QO23" s="47"/>
      <c r="QP23" s="47"/>
      <c r="QQ23" s="47"/>
      <c r="QR23" s="47"/>
      <c r="QS23" s="47"/>
      <c r="QT23" s="47"/>
      <c r="QU23" s="47"/>
      <c r="QV23" s="47"/>
      <c r="QW23" s="47"/>
      <c r="QX23" s="47"/>
      <c r="QY23" s="47"/>
      <c r="QZ23" s="47"/>
      <c r="RA23" s="47"/>
      <c r="RB23" s="47"/>
      <c r="RC23" s="47"/>
      <c r="RD23" s="47"/>
      <c r="RE23" s="47"/>
      <c r="RF23" s="47"/>
      <c r="RG23" s="47"/>
      <c r="RH23" s="47"/>
      <c r="RI23" s="47"/>
      <c r="RJ23" s="47"/>
      <c r="RK23" s="47"/>
      <c r="RL23" s="47"/>
      <c r="RM23" s="47"/>
      <c r="RN23" s="47"/>
      <c r="RO23" s="47"/>
      <c r="RP23" s="47"/>
      <c r="RQ23" s="47"/>
      <c r="RR23" s="47"/>
      <c r="RS23" s="47"/>
      <c r="RT23" s="47"/>
      <c r="RU23" s="47"/>
      <c r="RV23" s="47"/>
      <c r="RW23" s="47"/>
      <c r="RX23" s="47"/>
      <c r="RY23" s="47"/>
      <c r="RZ23" s="47"/>
      <c r="SA23" s="47"/>
      <c r="SB23" s="47"/>
      <c r="SC23" s="47"/>
      <c r="SD23" s="47"/>
      <c r="SE23" s="47"/>
      <c r="SF23" s="47"/>
      <c r="SG23" s="47"/>
      <c r="SH23" s="47"/>
      <c r="SI23" s="47"/>
      <c r="SJ23" s="47"/>
      <c r="SK23" s="47"/>
      <c r="SL23" s="47"/>
      <c r="SM23" s="47"/>
      <c r="SN23" s="47"/>
      <c r="SO23" s="47"/>
      <c r="SP23" s="47"/>
      <c r="SQ23" s="47"/>
      <c r="SR23" s="47"/>
      <c r="SS23" s="47"/>
      <c r="ST23" s="47"/>
      <c r="SU23" s="47"/>
      <c r="SV23" s="47"/>
      <c r="SW23" s="47"/>
      <c r="SX23" s="47"/>
      <c r="SY23" s="47"/>
      <c r="SZ23" s="47"/>
      <c r="TA23" s="47"/>
      <c r="TB23" s="47"/>
      <c r="TC23" s="47"/>
      <c r="TD23" s="47"/>
      <c r="TE23" s="47"/>
      <c r="TF23" s="47"/>
      <c r="TG23" s="47"/>
      <c r="TH23" s="47"/>
      <c r="TI23" s="47"/>
      <c r="TJ23" s="47"/>
      <c r="TK23" s="47"/>
      <c r="TL23" s="47"/>
      <c r="TM23" s="47"/>
      <c r="TN23" s="47"/>
      <c r="TO23" s="47"/>
      <c r="TP23" s="47"/>
      <c r="TQ23" s="47"/>
      <c r="TR23" s="47"/>
      <c r="TS23" s="47"/>
      <c r="TT23" s="47"/>
      <c r="TU23" s="47"/>
      <c r="TV23" s="47"/>
      <c r="TW23" s="47"/>
      <c r="TX23" s="47"/>
      <c r="TY23" s="47"/>
      <c r="TZ23" s="47"/>
      <c r="UA23" s="47"/>
      <c r="UB23" s="47"/>
      <c r="UC23" s="47"/>
      <c r="UD23" s="47"/>
      <c r="UE23" s="47"/>
      <c r="UF23" s="47"/>
      <c r="UG23" s="47"/>
      <c r="UH23" s="47"/>
      <c r="UI23" s="47"/>
      <c r="UJ23" s="47"/>
      <c r="UK23" s="47"/>
      <c r="UL23" s="47"/>
      <c r="UM23" s="47"/>
      <c r="UN23" s="47"/>
      <c r="UO23" s="47"/>
      <c r="UP23" s="47"/>
      <c r="UQ23" s="47"/>
      <c r="UR23" s="47"/>
      <c r="US23" s="47"/>
      <c r="UT23" s="47"/>
      <c r="UU23" s="47"/>
      <c r="UV23" s="47"/>
      <c r="UW23" s="47"/>
      <c r="UX23" s="47"/>
      <c r="UY23" s="47"/>
      <c r="UZ23" s="47"/>
      <c r="VA23" s="47"/>
      <c r="VB23" s="47"/>
      <c r="VC23" s="47"/>
      <c r="VD23" s="47"/>
      <c r="VE23" s="47"/>
      <c r="VF23" s="47"/>
      <c r="VG23" s="47"/>
      <c r="VH23" s="47"/>
      <c r="VI23" s="47"/>
      <c r="VJ23" s="47"/>
      <c r="VK23" s="47"/>
      <c r="VL23" s="47"/>
      <c r="VM23" s="47"/>
      <c r="VN23" s="47"/>
      <c r="VO23" s="47"/>
      <c r="VP23" s="47"/>
      <c r="VQ23" s="47"/>
      <c r="VR23" s="47"/>
      <c r="VS23" s="47"/>
      <c r="VT23" s="47"/>
      <c r="VU23" s="47"/>
      <c r="VV23" s="47"/>
      <c r="VW23" s="47"/>
      <c r="VX23" s="47"/>
      <c r="VY23" s="47"/>
      <c r="VZ23" s="47"/>
      <c r="WA23" s="47"/>
      <c r="WB23" s="47"/>
      <c r="WC23" s="47"/>
      <c r="WD23" s="47"/>
      <c r="WE23" s="47"/>
      <c r="WF23" s="47"/>
      <c r="WG23" s="47"/>
      <c r="WH23" s="47"/>
      <c r="WI23" s="47"/>
      <c r="WJ23" s="47"/>
      <c r="WK23" s="47"/>
      <c r="WL23" s="47"/>
      <c r="WM23" s="47"/>
      <c r="WN23" s="47"/>
      <c r="WO23" s="47"/>
      <c r="WP23" s="47"/>
      <c r="WQ23" s="47"/>
      <c r="WR23" s="47"/>
      <c r="WS23" s="47"/>
      <c r="WT23" s="47"/>
      <c r="WU23" s="47"/>
      <c r="WV23" s="47"/>
      <c r="WW23" s="47"/>
      <c r="WX23" s="47"/>
      <c r="WY23" s="47"/>
      <c r="WZ23" s="47"/>
      <c r="XA23" s="47"/>
      <c r="XB23" s="47"/>
      <c r="XC23" s="47"/>
      <c r="XD23" s="47"/>
      <c r="XE23" s="47"/>
      <c r="XF23" s="47"/>
      <c r="XG23" s="47"/>
      <c r="XH23" s="47"/>
      <c r="XI23" s="47"/>
      <c r="XJ23" s="47"/>
      <c r="XK23" s="47"/>
      <c r="XL23" s="47"/>
      <c r="XM23" s="47"/>
      <c r="XN23" s="47"/>
      <c r="XO23" s="47"/>
      <c r="XP23" s="47"/>
      <c r="XQ23" s="47"/>
      <c r="XR23" s="47"/>
      <c r="XS23" s="47"/>
      <c r="XT23" s="47"/>
      <c r="XU23" s="47"/>
      <c r="XV23" s="47"/>
      <c r="XW23" s="47"/>
      <c r="XX23" s="47"/>
      <c r="XY23" s="47"/>
      <c r="XZ23" s="47"/>
      <c r="YA23" s="47"/>
      <c r="YB23" s="47"/>
      <c r="YC23" s="47"/>
      <c r="YD23" s="47"/>
      <c r="YE23" s="47"/>
      <c r="YF23" s="47"/>
      <c r="YG23" s="47"/>
      <c r="YH23" s="47"/>
      <c r="YI23" s="47"/>
      <c r="YJ23" s="47"/>
      <c r="YK23" s="47"/>
      <c r="YL23" s="47"/>
      <c r="YM23" s="47"/>
      <c r="YN23" s="47"/>
      <c r="YO23" s="47"/>
      <c r="YP23" s="47"/>
      <c r="YQ23" s="47"/>
      <c r="YR23" s="47"/>
      <c r="YS23" s="47"/>
      <c r="YT23" s="47"/>
      <c r="YU23" s="47"/>
      <c r="YV23" s="47"/>
      <c r="YW23" s="47"/>
      <c r="YX23" s="47"/>
      <c r="YY23" s="47"/>
      <c r="YZ23" s="47"/>
      <c r="ZA23" s="47"/>
      <c r="ZB23" s="47"/>
      <c r="ZC23" s="47"/>
      <c r="ZD23" s="47"/>
      <c r="ZE23" s="47"/>
      <c r="ZF23" s="47"/>
      <c r="ZG23" s="47"/>
      <c r="ZH23" s="47"/>
      <c r="ZI23" s="47"/>
      <c r="ZJ23" s="47"/>
      <c r="ZK23" s="47"/>
      <c r="ZL23" s="47"/>
      <c r="ZM23" s="47"/>
      <c r="ZN23" s="47"/>
      <c r="ZO23" s="47"/>
      <c r="ZP23" s="47"/>
      <c r="ZQ23" s="47"/>
      <c r="ZR23" s="47"/>
      <c r="ZS23" s="47"/>
      <c r="ZT23" s="47"/>
      <c r="ZU23" s="47"/>
      <c r="ZV23" s="47"/>
      <c r="ZW23" s="47"/>
      <c r="ZX23" s="47"/>
      <c r="ZY23" s="47"/>
      <c r="ZZ23" s="47"/>
      <c r="AAA23" s="47"/>
      <c r="AAB23" s="47"/>
      <c r="AAC23" s="47"/>
      <c r="AAD23" s="47"/>
      <c r="AAE23" s="47"/>
      <c r="AAF23" s="47"/>
      <c r="AAG23" s="47"/>
      <c r="AAH23" s="47"/>
      <c r="AAI23" s="47"/>
      <c r="AAJ23" s="47"/>
      <c r="AAK23" s="47"/>
      <c r="AAL23" s="47"/>
      <c r="AAM23" s="47"/>
      <c r="AAN23" s="47"/>
      <c r="AAO23" s="47"/>
      <c r="AAP23" s="47"/>
      <c r="AAQ23" s="47"/>
      <c r="AAR23" s="47"/>
      <c r="AAS23" s="47"/>
      <c r="AAT23" s="47"/>
      <c r="AAU23" s="47"/>
      <c r="AAV23" s="47"/>
      <c r="AAW23" s="47"/>
      <c r="AAX23" s="47"/>
      <c r="AAY23" s="47"/>
      <c r="AAZ23" s="47"/>
      <c r="ABA23" s="47"/>
      <c r="ABB23" s="47"/>
      <c r="ABC23" s="47"/>
      <c r="ABD23" s="47"/>
      <c r="ABE23" s="47"/>
      <c r="ABF23" s="47"/>
      <c r="ABG23" s="47"/>
      <c r="ABH23" s="47"/>
      <c r="ABI23" s="47"/>
      <c r="ABJ23" s="47"/>
      <c r="ABK23" s="47"/>
      <c r="ABL23" s="47"/>
      <c r="ABM23" s="47"/>
      <c r="ABN23" s="47"/>
      <c r="ABO23" s="47"/>
      <c r="ABP23" s="47"/>
      <c r="ABQ23" s="47"/>
      <c r="ABR23" s="47"/>
      <c r="ABS23" s="47"/>
      <c r="ABT23" s="47"/>
      <c r="ABU23" s="47"/>
      <c r="ABV23" s="47"/>
      <c r="ABW23" s="47"/>
      <c r="ABX23" s="47"/>
      <c r="ABY23" s="47"/>
      <c r="ABZ23" s="47"/>
      <c r="ACA23" s="47"/>
      <c r="ACB23" s="47"/>
      <c r="ACC23" s="47"/>
      <c r="ACD23" s="47"/>
      <c r="ACE23" s="47"/>
      <c r="ACF23" s="47"/>
      <c r="ACG23" s="47"/>
      <c r="ACH23" s="47"/>
      <c r="ACI23" s="47"/>
      <c r="ACJ23" s="47"/>
      <c r="ACK23" s="47"/>
      <c r="ACL23" s="47"/>
      <c r="ACM23" s="47"/>
      <c r="ACN23" s="47"/>
      <c r="ACO23" s="47"/>
      <c r="ACP23" s="47"/>
      <c r="ACQ23" s="47"/>
      <c r="ACR23" s="47"/>
      <c r="ACS23" s="47"/>
      <c r="ACT23" s="47"/>
      <c r="ACU23" s="47"/>
      <c r="ACV23" s="47"/>
      <c r="ACW23" s="47"/>
      <c r="ACX23" s="47"/>
      <c r="ACY23" s="47"/>
      <c r="ACZ23" s="47"/>
      <c r="ADA23" s="47"/>
      <c r="ADB23" s="47"/>
      <c r="ADC23" s="47"/>
      <c r="ADD23" s="47"/>
      <c r="ADE23" s="47"/>
      <c r="ADF23" s="47"/>
      <c r="ADG23" s="47"/>
      <c r="ADH23" s="47"/>
      <c r="ADI23" s="47"/>
      <c r="ADJ23" s="47"/>
      <c r="ADK23" s="47"/>
      <c r="ADL23" s="47"/>
      <c r="ADM23" s="47"/>
      <c r="ADN23" s="47"/>
      <c r="ADO23" s="47"/>
      <c r="ADP23" s="47"/>
      <c r="ADQ23" s="47"/>
      <c r="ADR23" s="47"/>
      <c r="ADS23" s="47"/>
      <c r="ADT23" s="47"/>
      <c r="ADU23" s="47"/>
      <c r="ADV23" s="47"/>
      <c r="ADW23" s="47"/>
      <c r="ADX23" s="47"/>
      <c r="ADY23" s="47"/>
      <c r="ADZ23" s="47"/>
      <c r="AEA23" s="47"/>
      <c r="AEB23" s="47"/>
      <c r="AEC23" s="47"/>
      <c r="AED23" s="47"/>
      <c r="AEE23" s="47"/>
      <c r="AEF23" s="47"/>
      <c r="AEG23" s="47"/>
      <c r="AEH23" s="47"/>
      <c r="AEI23" s="47"/>
      <c r="AEJ23" s="47"/>
      <c r="AEK23" s="47"/>
      <c r="AEL23" s="47"/>
      <c r="AEM23" s="47"/>
      <c r="AEN23" s="47"/>
      <c r="AEO23" s="47"/>
      <c r="AEP23" s="47"/>
      <c r="AEQ23" s="47"/>
      <c r="AER23" s="47"/>
      <c r="AES23" s="47"/>
      <c r="AET23" s="47"/>
      <c r="AEU23" s="47"/>
      <c r="AEV23" s="47"/>
      <c r="AEW23" s="47"/>
      <c r="AEX23" s="47"/>
      <c r="AEY23" s="47"/>
      <c r="AEZ23" s="47"/>
      <c r="AFA23" s="47"/>
      <c r="AFB23" s="47"/>
      <c r="AFC23" s="47"/>
      <c r="AFD23" s="47"/>
      <c r="AFE23" s="47"/>
      <c r="AFF23" s="47"/>
      <c r="AFG23" s="47"/>
      <c r="AFH23" s="47"/>
      <c r="AFI23" s="47"/>
      <c r="AFJ23" s="47"/>
      <c r="AFK23" s="47"/>
      <c r="AFL23" s="47"/>
      <c r="AFM23" s="47"/>
      <c r="AFN23" s="47"/>
      <c r="AFO23" s="47"/>
      <c r="AFP23" s="47"/>
      <c r="AFQ23" s="47"/>
      <c r="AFR23" s="47"/>
      <c r="AFS23" s="47"/>
      <c r="AFT23" s="47"/>
      <c r="AFU23" s="47"/>
      <c r="AFV23" s="47"/>
      <c r="AFW23" s="47"/>
      <c r="AFX23" s="47"/>
      <c r="AFY23" s="47"/>
      <c r="AFZ23" s="47"/>
      <c r="AGA23" s="47"/>
      <c r="AGB23" s="47"/>
      <c r="AGC23" s="47"/>
      <c r="AGD23" s="47"/>
      <c r="AGE23" s="47"/>
      <c r="AGF23" s="47"/>
      <c r="AGG23" s="47"/>
      <c r="AGH23" s="47"/>
      <c r="AGI23" s="47"/>
      <c r="AGJ23" s="47"/>
      <c r="AGK23" s="47"/>
      <c r="AGL23" s="47"/>
      <c r="AGM23" s="47"/>
      <c r="AGN23" s="47"/>
      <c r="AGO23" s="47"/>
      <c r="AGP23" s="47"/>
      <c r="AGQ23" s="47"/>
      <c r="AGR23" s="47"/>
      <c r="AGS23" s="47"/>
      <c r="AGT23" s="47"/>
      <c r="AGU23" s="47"/>
      <c r="AGV23" s="47"/>
      <c r="AGW23" s="47"/>
      <c r="AGX23" s="47"/>
      <c r="AGY23" s="47"/>
      <c r="AGZ23" s="47"/>
      <c r="AHA23" s="47"/>
      <c r="AHB23" s="47"/>
      <c r="AHC23" s="47"/>
      <c r="AHD23" s="47"/>
      <c r="AHE23" s="47"/>
      <c r="AHF23" s="47"/>
      <c r="AHG23" s="47"/>
      <c r="AHH23" s="47"/>
      <c r="AHI23" s="47"/>
      <c r="AHJ23" s="47"/>
      <c r="AHK23" s="47"/>
      <c r="AHL23" s="47"/>
      <c r="AHM23" s="47"/>
      <c r="AHN23" s="47"/>
      <c r="AHO23" s="47"/>
      <c r="AHP23" s="47"/>
      <c r="AHQ23" s="47"/>
      <c r="AHR23" s="47"/>
      <c r="AHS23" s="47"/>
      <c r="AHT23" s="47"/>
      <c r="AHU23" s="47"/>
      <c r="AHV23" s="47"/>
      <c r="AHW23" s="47"/>
      <c r="AHX23" s="47"/>
      <c r="AHY23" s="47"/>
      <c r="AHZ23" s="47"/>
      <c r="AIA23" s="47"/>
      <c r="AIB23" s="47"/>
      <c r="AIC23" s="47"/>
      <c r="AID23" s="47"/>
      <c r="AIE23" s="47"/>
      <c r="AIF23" s="47"/>
      <c r="AIG23" s="47"/>
      <c r="AIH23" s="47"/>
      <c r="AII23" s="47"/>
      <c r="AIJ23" s="47"/>
      <c r="AIK23" s="47"/>
      <c r="AIL23" s="47"/>
      <c r="AIM23" s="47"/>
      <c r="AIN23" s="47"/>
      <c r="AIO23" s="47"/>
      <c r="AIP23" s="47"/>
      <c r="AIQ23" s="47"/>
      <c r="AIR23" s="47"/>
      <c r="AIS23" s="47"/>
      <c r="AIT23" s="47"/>
      <c r="AIU23" s="47"/>
      <c r="AIV23" s="47"/>
      <c r="AIW23" s="47"/>
      <c r="AIX23" s="47"/>
      <c r="AIY23" s="47"/>
      <c r="AIZ23" s="47"/>
      <c r="AJA23" s="47"/>
      <c r="AJB23" s="47"/>
      <c r="AJC23" s="47"/>
      <c r="AJD23" s="47"/>
      <c r="AJE23" s="47"/>
      <c r="AJF23" s="47"/>
      <c r="AJG23" s="47"/>
      <c r="AJH23" s="47"/>
      <c r="AJI23" s="47"/>
      <c r="AJJ23" s="47"/>
      <c r="AJK23" s="47"/>
      <c r="AJL23" s="47"/>
      <c r="AJM23" s="47"/>
      <c r="AJN23" s="47"/>
      <c r="AJO23" s="47"/>
      <c r="AJP23" s="47"/>
      <c r="AJQ23" s="47"/>
      <c r="AJR23" s="47"/>
      <c r="AJS23" s="47"/>
      <c r="AJT23" s="47"/>
      <c r="AJU23" s="47"/>
      <c r="AJV23" s="47"/>
      <c r="AJW23" s="47"/>
      <c r="AJX23" s="47"/>
      <c r="AJY23" s="47"/>
      <c r="AJZ23" s="47"/>
      <c r="AKA23" s="47"/>
      <c r="AKB23" s="47"/>
      <c r="AKC23" s="47"/>
      <c r="AKD23" s="47"/>
      <c r="AKE23" s="47"/>
      <c r="AKF23" s="47"/>
      <c r="AKG23" s="47"/>
      <c r="AKH23" s="47"/>
      <c r="AKI23" s="47"/>
      <c r="AKJ23" s="47"/>
      <c r="AKK23" s="47"/>
      <c r="AKL23" s="47"/>
      <c r="AKM23" s="47"/>
      <c r="AKN23" s="47"/>
      <c r="AKO23" s="47"/>
      <c r="AKP23" s="47"/>
      <c r="AKQ23" s="47"/>
      <c r="AKR23" s="47"/>
      <c r="AKS23" s="47"/>
      <c r="AKT23" s="47"/>
      <c r="AKU23" s="47"/>
      <c r="AKV23" s="47"/>
      <c r="AKW23" s="47"/>
      <c r="AKX23" s="47"/>
      <c r="AKY23" s="47"/>
      <c r="AKZ23" s="47"/>
      <c r="ALA23" s="47"/>
      <c r="ALB23" s="47"/>
      <c r="ALC23" s="47"/>
      <c r="ALD23" s="47"/>
      <c r="ALE23" s="47"/>
      <c r="ALF23" s="47"/>
      <c r="ALG23" s="47"/>
      <c r="ALH23" s="47"/>
      <c r="ALI23" s="47"/>
      <c r="ALJ23" s="47"/>
      <c r="ALK23" s="47"/>
      <c r="ALL23" s="47"/>
      <c r="ALM23" s="47"/>
      <c r="ALN23" s="47"/>
      <c r="ALO23" s="47"/>
      <c r="ALP23" s="47"/>
      <c r="ALQ23" s="47"/>
      <c r="ALR23" s="47"/>
      <c r="ALS23" s="47"/>
      <c r="ALT23" s="47"/>
      <c r="ALU23" s="47"/>
      <c r="ALV23" s="47"/>
      <c r="ALW23" s="47"/>
      <c r="ALX23" s="47"/>
      <c r="ALY23" s="47"/>
      <c r="ALZ23" s="47"/>
      <c r="AMA23" s="47"/>
      <c r="AMB23" s="47"/>
      <c r="AMC23" s="47"/>
      <c r="AMD23" s="47"/>
      <c r="AME23" s="47"/>
      <c r="AMF23" s="47"/>
      <c r="AMG23" s="47"/>
      <c r="AMH23" s="47"/>
      <c r="AMI23" s="47"/>
      <c r="AMJ23" s="47"/>
    </row>
    <row r="24" spans="1:1024" s="85" customFormat="1" ht="11.25" customHeight="1" x14ac:dyDescent="0.3">
      <c r="A24" s="38" t="s">
        <v>140</v>
      </c>
      <c r="B24" s="38" t="s">
        <v>108</v>
      </c>
      <c r="C24" s="57" t="s">
        <v>154</v>
      </c>
      <c r="D24" s="46"/>
      <c r="E24" s="46">
        <v>45680</v>
      </c>
      <c r="F24" s="46">
        <v>45680</v>
      </c>
      <c r="G24" s="38" t="s">
        <v>376</v>
      </c>
      <c r="H24" s="39" t="s">
        <v>141</v>
      </c>
      <c r="I24" s="39" t="s">
        <v>113</v>
      </c>
      <c r="J24" s="39" t="s">
        <v>113</v>
      </c>
      <c r="K24" s="57" t="s">
        <v>416</v>
      </c>
      <c r="L24" s="57" t="s">
        <v>177</v>
      </c>
      <c r="M24" s="38" t="s">
        <v>368</v>
      </c>
      <c r="N24" s="57" t="s">
        <v>152</v>
      </c>
      <c r="O24" s="89" t="s">
        <v>146</v>
      </c>
      <c r="P24" s="57" t="s">
        <v>239</v>
      </c>
      <c r="Q24" s="46">
        <v>33431</v>
      </c>
      <c r="R24" s="47"/>
      <c r="S24" s="47"/>
      <c r="T24" s="47"/>
      <c r="U24" s="47"/>
      <c r="V24" s="47" t="s">
        <v>365</v>
      </c>
      <c r="W24" s="46">
        <v>45680</v>
      </c>
      <c r="X24" s="83">
        <v>0.8125</v>
      </c>
      <c r="Y24" s="57" t="s">
        <v>461</v>
      </c>
      <c r="Z24" s="46">
        <v>45681</v>
      </c>
      <c r="AA24" s="47" t="s">
        <v>462</v>
      </c>
      <c r="AB24" s="47" t="s">
        <v>446</v>
      </c>
      <c r="AC24" s="45">
        <v>45681</v>
      </c>
      <c r="AD24" s="87" t="s">
        <v>447</v>
      </c>
      <c r="AE24" s="40" t="s">
        <v>465</v>
      </c>
      <c r="AF24" s="40" t="s">
        <v>128</v>
      </c>
      <c r="AG24" s="47" t="s">
        <v>125</v>
      </c>
      <c r="AH24" s="47" t="s">
        <v>126</v>
      </c>
      <c r="AI24" s="84" t="s">
        <v>123</v>
      </c>
      <c r="AJ24" s="47" t="s">
        <v>124</v>
      </c>
      <c r="AK24" s="58">
        <v>3</v>
      </c>
      <c r="AL24" s="79" t="s">
        <v>143</v>
      </c>
      <c r="AM24" s="86"/>
      <c r="AN24" s="86"/>
      <c r="AO24" s="38"/>
      <c r="AP24" s="47" t="s">
        <v>143</v>
      </c>
      <c r="AQ24" s="79" t="s">
        <v>143</v>
      </c>
      <c r="AR24" s="86"/>
      <c r="AS24" s="86"/>
      <c r="AT24" s="47"/>
      <c r="AU24" s="57" t="s">
        <v>143</v>
      </c>
      <c r="AV24" s="79" t="s">
        <v>143</v>
      </c>
      <c r="AW24" s="86"/>
      <c r="AX24" s="86"/>
      <c r="AY24" s="47"/>
      <c r="AZ24" s="47" t="s">
        <v>143</v>
      </c>
      <c r="BA24" s="38" t="s">
        <v>374</v>
      </c>
      <c r="BB24" s="38" t="s">
        <v>373</v>
      </c>
      <c r="BC24" s="39" t="s">
        <v>374</v>
      </c>
      <c r="BD24" s="41" t="s">
        <v>375</v>
      </c>
      <c r="BE24" s="41">
        <f t="shared" si="0"/>
        <v>45680</v>
      </c>
      <c r="BF24" s="83">
        <v>0.75</v>
      </c>
      <c r="BG24" s="38" t="s">
        <v>374</v>
      </c>
      <c r="BH24" s="38" t="s">
        <v>372</v>
      </c>
      <c r="BI24" s="45" t="s">
        <v>374</v>
      </c>
      <c r="BJ24" s="45" t="s">
        <v>375</v>
      </c>
      <c r="BK24" s="45">
        <v>45679</v>
      </c>
      <c r="BL24" s="83">
        <v>0.25</v>
      </c>
      <c r="BM24" s="39" t="s">
        <v>143</v>
      </c>
      <c r="BN24" s="41"/>
      <c r="BO24" s="39"/>
      <c r="BP24" s="38"/>
      <c r="BQ24" s="41"/>
      <c r="BR24" s="83"/>
      <c r="BS24" s="41" t="s">
        <v>143</v>
      </c>
      <c r="BT24" s="41"/>
      <c r="BU24" s="41"/>
      <c r="BV24" s="41"/>
      <c r="BW24" s="41"/>
      <c r="BX24" s="83"/>
      <c r="BY24" s="38"/>
      <c r="BZ24" s="47"/>
      <c r="CA24" s="86"/>
      <c r="CB24" s="86"/>
      <c r="CC24" s="47"/>
      <c r="CD24" s="47"/>
      <c r="CE24" s="86"/>
      <c r="CF24" s="86"/>
      <c r="CG24" s="47"/>
      <c r="CH24" s="47"/>
      <c r="CI24" s="47"/>
      <c r="CJ24" s="47"/>
      <c r="CK24" s="47"/>
      <c r="CL24" s="38"/>
      <c r="CM24" s="38"/>
      <c r="CN24" s="38"/>
      <c r="CO24" s="59"/>
      <c r="CP24" s="38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  <c r="GL24" s="47"/>
      <c r="GM24" s="47"/>
      <c r="GN24" s="47"/>
      <c r="GO24" s="47"/>
      <c r="GP24" s="47"/>
      <c r="GQ24" s="47"/>
      <c r="GR24" s="47"/>
      <c r="GS24" s="47"/>
      <c r="GT24" s="47"/>
      <c r="GU24" s="47"/>
      <c r="GV24" s="47"/>
      <c r="GW24" s="47"/>
      <c r="GX24" s="47"/>
      <c r="GY24" s="47"/>
      <c r="GZ24" s="47"/>
      <c r="HA24" s="47"/>
      <c r="HB24" s="47"/>
      <c r="HC24" s="47"/>
      <c r="HD24" s="47"/>
      <c r="HE24" s="47"/>
      <c r="HF24" s="47"/>
      <c r="HG24" s="47"/>
      <c r="HH24" s="47"/>
      <c r="HI24" s="47"/>
      <c r="HJ24" s="47"/>
      <c r="HK24" s="47"/>
      <c r="HL24" s="47"/>
      <c r="HM24" s="47"/>
      <c r="HN24" s="47"/>
      <c r="HO24" s="47"/>
      <c r="HP24" s="47"/>
      <c r="HQ24" s="47"/>
      <c r="HR24" s="47"/>
      <c r="HS24" s="47"/>
      <c r="HT24" s="47"/>
      <c r="HU24" s="47"/>
      <c r="HV24" s="47"/>
      <c r="HW24" s="47"/>
      <c r="HX24" s="47"/>
      <c r="HY24" s="47"/>
      <c r="HZ24" s="47"/>
      <c r="IA24" s="47"/>
      <c r="IB24" s="47"/>
      <c r="IC24" s="47"/>
      <c r="ID24" s="47"/>
      <c r="IE24" s="47"/>
      <c r="IF24" s="47"/>
      <c r="IG24" s="47"/>
      <c r="IH24" s="47"/>
      <c r="II24" s="47"/>
      <c r="IJ24" s="47"/>
      <c r="IK24" s="47"/>
      <c r="IL24" s="47"/>
      <c r="IM24" s="47"/>
      <c r="IN24" s="47"/>
      <c r="IO24" s="47"/>
      <c r="IP24" s="47"/>
      <c r="IQ24" s="47"/>
      <c r="IR24" s="47"/>
      <c r="IS24" s="47"/>
      <c r="IT24" s="47"/>
      <c r="IU24" s="47"/>
      <c r="IV24" s="47"/>
      <c r="IW24" s="47"/>
      <c r="IX24" s="47"/>
      <c r="IY24" s="47"/>
      <c r="IZ24" s="47"/>
      <c r="JA24" s="47"/>
      <c r="JB24" s="47"/>
      <c r="JC24" s="47"/>
      <c r="JD24" s="47"/>
      <c r="JE24" s="47"/>
      <c r="JF24" s="47"/>
      <c r="JG24" s="47"/>
      <c r="JH24" s="47"/>
      <c r="JI24" s="47"/>
      <c r="JJ24" s="47"/>
      <c r="JK24" s="47"/>
      <c r="JL24" s="47"/>
      <c r="JM24" s="47"/>
      <c r="JN24" s="47"/>
      <c r="JO24" s="47"/>
      <c r="JP24" s="47"/>
      <c r="JQ24" s="47"/>
      <c r="JR24" s="47"/>
      <c r="JS24" s="47"/>
      <c r="JT24" s="47"/>
      <c r="JU24" s="47"/>
      <c r="JV24" s="47"/>
      <c r="JW24" s="47"/>
      <c r="JX24" s="47"/>
      <c r="JY24" s="47"/>
      <c r="JZ24" s="47"/>
      <c r="KA24" s="47"/>
      <c r="KB24" s="47"/>
      <c r="KC24" s="47"/>
      <c r="KD24" s="47"/>
      <c r="KE24" s="47"/>
      <c r="KF24" s="47"/>
      <c r="KG24" s="47"/>
      <c r="KH24" s="47"/>
      <c r="KI24" s="47"/>
      <c r="KJ24" s="47"/>
      <c r="KK24" s="47"/>
      <c r="KL24" s="47"/>
      <c r="KM24" s="47"/>
      <c r="KN24" s="47"/>
      <c r="KO24" s="47"/>
      <c r="KP24" s="47"/>
      <c r="KQ24" s="47"/>
      <c r="KR24" s="47"/>
      <c r="KS24" s="47"/>
      <c r="KT24" s="47"/>
      <c r="KU24" s="47"/>
      <c r="KV24" s="47"/>
      <c r="KW24" s="47"/>
      <c r="KX24" s="47"/>
      <c r="KY24" s="47"/>
      <c r="KZ24" s="47"/>
      <c r="LA24" s="47"/>
      <c r="LB24" s="47"/>
      <c r="LC24" s="47"/>
      <c r="LD24" s="47"/>
      <c r="LE24" s="47"/>
      <c r="LF24" s="47"/>
      <c r="LG24" s="47"/>
      <c r="LH24" s="47"/>
      <c r="LI24" s="47"/>
      <c r="LJ24" s="47"/>
      <c r="LK24" s="47"/>
      <c r="LL24" s="47"/>
      <c r="LM24" s="47"/>
      <c r="LN24" s="47"/>
      <c r="LO24" s="47"/>
      <c r="LP24" s="47"/>
      <c r="LQ24" s="47"/>
      <c r="LR24" s="47"/>
      <c r="LS24" s="47"/>
      <c r="LT24" s="47"/>
      <c r="LU24" s="47"/>
      <c r="LV24" s="47"/>
      <c r="LW24" s="47"/>
      <c r="LX24" s="47"/>
      <c r="LY24" s="47"/>
      <c r="LZ24" s="47"/>
      <c r="MA24" s="47"/>
      <c r="MB24" s="47"/>
      <c r="MC24" s="47"/>
      <c r="MD24" s="47"/>
      <c r="ME24" s="47"/>
      <c r="MF24" s="47"/>
      <c r="MG24" s="47"/>
      <c r="MH24" s="47"/>
      <c r="MI24" s="47"/>
      <c r="MJ24" s="47"/>
      <c r="MK24" s="47"/>
      <c r="ML24" s="47"/>
      <c r="MM24" s="47"/>
      <c r="MN24" s="47"/>
      <c r="MO24" s="47"/>
      <c r="MP24" s="47"/>
      <c r="MQ24" s="47"/>
      <c r="MR24" s="47"/>
      <c r="MS24" s="47"/>
      <c r="MT24" s="47"/>
      <c r="MU24" s="47"/>
      <c r="MV24" s="47"/>
      <c r="MW24" s="47"/>
      <c r="MX24" s="47"/>
      <c r="MY24" s="47"/>
      <c r="MZ24" s="47"/>
      <c r="NA24" s="47"/>
      <c r="NB24" s="47"/>
      <c r="NC24" s="47"/>
      <c r="ND24" s="47"/>
      <c r="NE24" s="47"/>
      <c r="NF24" s="47"/>
      <c r="NG24" s="47"/>
      <c r="NH24" s="47"/>
      <c r="NI24" s="47"/>
      <c r="NJ24" s="47"/>
      <c r="NK24" s="47"/>
      <c r="NL24" s="47"/>
      <c r="NM24" s="47"/>
      <c r="NN24" s="47"/>
      <c r="NO24" s="47"/>
      <c r="NP24" s="47"/>
      <c r="NQ24" s="47"/>
      <c r="NR24" s="47"/>
      <c r="NS24" s="47"/>
      <c r="NT24" s="47"/>
      <c r="NU24" s="47"/>
      <c r="NV24" s="47"/>
      <c r="NW24" s="47"/>
      <c r="NX24" s="47"/>
      <c r="NY24" s="47"/>
      <c r="NZ24" s="47"/>
      <c r="OA24" s="47"/>
      <c r="OB24" s="47"/>
      <c r="OC24" s="47"/>
      <c r="OD24" s="47"/>
      <c r="OE24" s="47"/>
      <c r="OF24" s="47"/>
      <c r="OG24" s="47"/>
      <c r="OH24" s="47"/>
      <c r="OI24" s="47"/>
      <c r="OJ24" s="47"/>
      <c r="OK24" s="47"/>
      <c r="OL24" s="47"/>
      <c r="OM24" s="47"/>
      <c r="ON24" s="47"/>
      <c r="OO24" s="47"/>
      <c r="OP24" s="47"/>
      <c r="OQ24" s="47"/>
      <c r="OR24" s="47"/>
      <c r="OS24" s="47"/>
      <c r="OT24" s="47"/>
      <c r="OU24" s="47"/>
      <c r="OV24" s="47"/>
      <c r="OW24" s="47"/>
      <c r="OX24" s="47"/>
      <c r="OY24" s="47"/>
      <c r="OZ24" s="47"/>
      <c r="PA24" s="47"/>
      <c r="PB24" s="47"/>
      <c r="PC24" s="47"/>
      <c r="PD24" s="47"/>
      <c r="PE24" s="47"/>
      <c r="PF24" s="47"/>
      <c r="PG24" s="47"/>
      <c r="PH24" s="47"/>
      <c r="PI24" s="47"/>
      <c r="PJ24" s="47"/>
      <c r="PK24" s="47"/>
      <c r="PL24" s="47"/>
      <c r="PM24" s="47"/>
      <c r="PN24" s="47"/>
      <c r="PO24" s="47"/>
      <c r="PP24" s="47"/>
      <c r="PQ24" s="47"/>
      <c r="PR24" s="47"/>
      <c r="PS24" s="47"/>
      <c r="PT24" s="47"/>
      <c r="PU24" s="47"/>
      <c r="PV24" s="47"/>
      <c r="PW24" s="47"/>
      <c r="PX24" s="47"/>
      <c r="PY24" s="47"/>
      <c r="PZ24" s="47"/>
      <c r="QA24" s="47"/>
      <c r="QB24" s="47"/>
      <c r="QC24" s="47"/>
      <c r="QD24" s="47"/>
      <c r="QE24" s="47"/>
      <c r="QF24" s="47"/>
      <c r="QG24" s="47"/>
      <c r="QH24" s="47"/>
      <c r="QI24" s="47"/>
      <c r="QJ24" s="47"/>
      <c r="QK24" s="47"/>
      <c r="QL24" s="47"/>
      <c r="QM24" s="47"/>
      <c r="QN24" s="47"/>
      <c r="QO24" s="47"/>
      <c r="QP24" s="47"/>
      <c r="QQ24" s="47"/>
      <c r="QR24" s="47"/>
      <c r="QS24" s="47"/>
      <c r="QT24" s="47"/>
      <c r="QU24" s="47"/>
      <c r="QV24" s="47"/>
      <c r="QW24" s="47"/>
      <c r="QX24" s="47"/>
      <c r="QY24" s="47"/>
      <c r="QZ24" s="47"/>
      <c r="RA24" s="47"/>
      <c r="RB24" s="47"/>
      <c r="RC24" s="47"/>
      <c r="RD24" s="47"/>
      <c r="RE24" s="47"/>
      <c r="RF24" s="47"/>
      <c r="RG24" s="47"/>
      <c r="RH24" s="47"/>
      <c r="RI24" s="47"/>
      <c r="RJ24" s="47"/>
      <c r="RK24" s="47"/>
      <c r="RL24" s="47"/>
      <c r="RM24" s="47"/>
      <c r="RN24" s="47"/>
      <c r="RO24" s="47"/>
      <c r="RP24" s="47"/>
      <c r="RQ24" s="47"/>
      <c r="RR24" s="47"/>
      <c r="RS24" s="47"/>
      <c r="RT24" s="47"/>
      <c r="RU24" s="47"/>
      <c r="RV24" s="47"/>
      <c r="RW24" s="47"/>
      <c r="RX24" s="47"/>
      <c r="RY24" s="47"/>
      <c r="RZ24" s="47"/>
      <c r="SA24" s="47"/>
      <c r="SB24" s="47"/>
      <c r="SC24" s="47"/>
      <c r="SD24" s="47"/>
      <c r="SE24" s="47"/>
      <c r="SF24" s="47"/>
      <c r="SG24" s="47"/>
      <c r="SH24" s="47"/>
      <c r="SI24" s="47"/>
      <c r="SJ24" s="47"/>
      <c r="SK24" s="47"/>
      <c r="SL24" s="47"/>
      <c r="SM24" s="47"/>
      <c r="SN24" s="47"/>
      <c r="SO24" s="47"/>
      <c r="SP24" s="47"/>
      <c r="SQ24" s="47"/>
      <c r="SR24" s="47"/>
      <c r="SS24" s="47"/>
      <c r="ST24" s="47"/>
      <c r="SU24" s="47"/>
      <c r="SV24" s="47"/>
      <c r="SW24" s="47"/>
      <c r="SX24" s="47"/>
      <c r="SY24" s="47"/>
      <c r="SZ24" s="47"/>
      <c r="TA24" s="47"/>
      <c r="TB24" s="47"/>
      <c r="TC24" s="47"/>
      <c r="TD24" s="47"/>
      <c r="TE24" s="47"/>
      <c r="TF24" s="47"/>
      <c r="TG24" s="47"/>
      <c r="TH24" s="47"/>
      <c r="TI24" s="47"/>
      <c r="TJ24" s="47"/>
      <c r="TK24" s="47"/>
      <c r="TL24" s="47"/>
      <c r="TM24" s="47"/>
      <c r="TN24" s="47"/>
      <c r="TO24" s="47"/>
      <c r="TP24" s="47"/>
      <c r="TQ24" s="47"/>
      <c r="TR24" s="47"/>
      <c r="TS24" s="47"/>
      <c r="TT24" s="47"/>
      <c r="TU24" s="47"/>
      <c r="TV24" s="47"/>
      <c r="TW24" s="47"/>
      <c r="TX24" s="47"/>
      <c r="TY24" s="47"/>
      <c r="TZ24" s="47"/>
      <c r="UA24" s="47"/>
      <c r="UB24" s="47"/>
      <c r="UC24" s="47"/>
      <c r="UD24" s="47"/>
      <c r="UE24" s="47"/>
      <c r="UF24" s="47"/>
      <c r="UG24" s="47"/>
      <c r="UH24" s="47"/>
      <c r="UI24" s="47"/>
      <c r="UJ24" s="47"/>
      <c r="UK24" s="47"/>
      <c r="UL24" s="47"/>
      <c r="UM24" s="47"/>
      <c r="UN24" s="47"/>
      <c r="UO24" s="47"/>
      <c r="UP24" s="47"/>
      <c r="UQ24" s="47"/>
      <c r="UR24" s="47"/>
      <c r="US24" s="47"/>
      <c r="UT24" s="47"/>
      <c r="UU24" s="47"/>
      <c r="UV24" s="47"/>
      <c r="UW24" s="47"/>
      <c r="UX24" s="47"/>
      <c r="UY24" s="47"/>
      <c r="UZ24" s="47"/>
      <c r="VA24" s="47"/>
      <c r="VB24" s="47"/>
      <c r="VC24" s="47"/>
      <c r="VD24" s="47"/>
      <c r="VE24" s="47"/>
      <c r="VF24" s="47"/>
      <c r="VG24" s="47"/>
      <c r="VH24" s="47"/>
      <c r="VI24" s="47"/>
      <c r="VJ24" s="47"/>
      <c r="VK24" s="47"/>
      <c r="VL24" s="47"/>
      <c r="VM24" s="47"/>
      <c r="VN24" s="47"/>
      <c r="VO24" s="47"/>
      <c r="VP24" s="47"/>
      <c r="VQ24" s="47"/>
      <c r="VR24" s="47"/>
      <c r="VS24" s="47"/>
      <c r="VT24" s="47"/>
      <c r="VU24" s="47"/>
      <c r="VV24" s="47"/>
      <c r="VW24" s="47"/>
      <c r="VX24" s="47"/>
      <c r="VY24" s="47"/>
      <c r="VZ24" s="47"/>
      <c r="WA24" s="47"/>
      <c r="WB24" s="47"/>
      <c r="WC24" s="47"/>
      <c r="WD24" s="47"/>
      <c r="WE24" s="47"/>
      <c r="WF24" s="47"/>
      <c r="WG24" s="47"/>
      <c r="WH24" s="47"/>
      <c r="WI24" s="47"/>
      <c r="WJ24" s="47"/>
      <c r="WK24" s="47"/>
      <c r="WL24" s="47"/>
      <c r="WM24" s="47"/>
      <c r="WN24" s="47"/>
      <c r="WO24" s="47"/>
      <c r="WP24" s="47"/>
      <c r="WQ24" s="47"/>
      <c r="WR24" s="47"/>
      <c r="WS24" s="47"/>
      <c r="WT24" s="47"/>
      <c r="WU24" s="47"/>
      <c r="WV24" s="47"/>
      <c r="WW24" s="47"/>
      <c r="WX24" s="47"/>
      <c r="WY24" s="47"/>
      <c r="WZ24" s="47"/>
      <c r="XA24" s="47"/>
      <c r="XB24" s="47"/>
      <c r="XC24" s="47"/>
      <c r="XD24" s="47"/>
      <c r="XE24" s="47"/>
      <c r="XF24" s="47"/>
      <c r="XG24" s="47"/>
      <c r="XH24" s="47"/>
      <c r="XI24" s="47"/>
      <c r="XJ24" s="47"/>
      <c r="XK24" s="47"/>
      <c r="XL24" s="47"/>
      <c r="XM24" s="47"/>
      <c r="XN24" s="47"/>
      <c r="XO24" s="47"/>
      <c r="XP24" s="47"/>
      <c r="XQ24" s="47"/>
      <c r="XR24" s="47"/>
      <c r="XS24" s="47"/>
      <c r="XT24" s="47"/>
      <c r="XU24" s="47"/>
      <c r="XV24" s="47"/>
      <c r="XW24" s="47"/>
      <c r="XX24" s="47"/>
      <c r="XY24" s="47"/>
      <c r="XZ24" s="47"/>
      <c r="YA24" s="47"/>
      <c r="YB24" s="47"/>
      <c r="YC24" s="47"/>
      <c r="YD24" s="47"/>
      <c r="YE24" s="47"/>
      <c r="YF24" s="47"/>
      <c r="YG24" s="47"/>
      <c r="YH24" s="47"/>
      <c r="YI24" s="47"/>
      <c r="YJ24" s="47"/>
      <c r="YK24" s="47"/>
      <c r="YL24" s="47"/>
      <c r="YM24" s="47"/>
      <c r="YN24" s="47"/>
      <c r="YO24" s="47"/>
      <c r="YP24" s="47"/>
      <c r="YQ24" s="47"/>
      <c r="YR24" s="47"/>
      <c r="YS24" s="47"/>
      <c r="YT24" s="47"/>
      <c r="YU24" s="47"/>
      <c r="YV24" s="47"/>
      <c r="YW24" s="47"/>
      <c r="YX24" s="47"/>
      <c r="YY24" s="47"/>
      <c r="YZ24" s="47"/>
      <c r="ZA24" s="47"/>
      <c r="ZB24" s="47"/>
      <c r="ZC24" s="47"/>
      <c r="ZD24" s="47"/>
      <c r="ZE24" s="47"/>
      <c r="ZF24" s="47"/>
      <c r="ZG24" s="47"/>
      <c r="ZH24" s="47"/>
      <c r="ZI24" s="47"/>
      <c r="ZJ24" s="47"/>
      <c r="ZK24" s="47"/>
      <c r="ZL24" s="47"/>
      <c r="ZM24" s="47"/>
      <c r="ZN24" s="47"/>
      <c r="ZO24" s="47"/>
      <c r="ZP24" s="47"/>
      <c r="ZQ24" s="47"/>
      <c r="ZR24" s="47"/>
      <c r="ZS24" s="47"/>
      <c r="ZT24" s="47"/>
      <c r="ZU24" s="47"/>
      <c r="ZV24" s="47"/>
      <c r="ZW24" s="47"/>
      <c r="ZX24" s="47"/>
      <c r="ZY24" s="47"/>
      <c r="ZZ24" s="47"/>
      <c r="AAA24" s="47"/>
      <c r="AAB24" s="47"/>
      <c r="AAC24" s="47"/>
      <c r="AAD24" s="47"/>
      <c r="AAE24" s="47"/>
      <c r="AAF24" s="47"/>
      <c r="AAG24" s="47"/>
      <c r="AAH24" s="47"/>
      <c r="AAI24" s="47"/>
      <c r="AAJ24" s="47"/>
      <c r="AAK24" s="47"/>
      <c r="AAL24" s="47"/>
      <c r="AAM24" s="47"/>
      <c r="AAN24" s="47"/>
      <c r="AAO24" s="47"/>
      <c r="AAP24" s="47"/>
      <c r="AAQ24" s="47"/>
      <c r="AAR24" s="47"/>
      <c r="AAS24" s="47"/>
      <c r="AAT24" s="47"/>
      <c r="AAU24" s="47"/>
      <c r="AAV24" s="47"/>
      <c r="AAW24" s="47"/>
      <c r="AAX24" s="47"/>
      <c r="AAY24" s="47"/>
      <c r="AAZ24" s="47"/>
      <c r="ABA24" s="47"/>
      <c r="ABB24" s="47"/>
      <c r="ABC24" s="47"/>
      <c r="ABD24" s="47"/>
      <c r="ABE24" s="47"/>
      <c r="ABF24" s="47"/>
      <c r="ABG24" s="47"/>
      <c r="ABH24" s="47"/>
      <c r="ABI24" s="47"/>
      <c r="ABJ24" s="47"/>
      <c r="ABK24" s="47"/>
      <c r="ABL24" s="47"/>
      <c r="ABM24" s="47"/>
      <c r="ABN24" s="47"/>
      <c r="ABO24" s="47"/>
      <c r="ABP24" s="47"/>
      <c r="ABQ24" s="47"/>
      <c r="ABR24" s="47"/>
      <c r="ABS24" s="47"/>
      <c r="ABT24" s="47"/>
      <c r="ABU24" s="47"/>
      <c r="ABV24" s="47"/>
      <c r="ABW24" s="47"/>
      <c r="ABX24" s="47"/>
      <c r="ABY24" s="47"/>
      <c r="ABZ24" s="47"/>
      <c r="ACA24" s="47"/>
      <c r="ACB24" s="47"/>
      <c r="ACC24" s="47"/>
      <c r="ACD24" s="47"/>
      <c r="ACE24" s="47"/>
      <c r="ACF24" s="47"/>
      <c r="ACG24" s="47"/>
      <c r="ACH24" s="47"/>
      <c r="ACI24" s="47"/>
      <c r="ACJ24" s="47"/>
      <c r="ACK24" s="47"/>
      <c r="ACL24" s="47"/>
      <c r="ACM24" s="47"/>
      <c r="ACN24" s="47"/>
      <c r="ACO24" s="47"/>
      <c r="ACP24" s="47"/>
      <c r="ACQ24" s="47"/>
      <c r="ACR24" s="47"/>
      <c r="ACS24" s="47"/>
      <c r="ACT24" s="47"/>
      <c r="ACU24" s="47"/>
      <c r="ACV24" s="47"/>
      <c r="ACW24" s="47"/>
      <c r="ACX24" s="47"/>
      <c r="ACY24" s="47"/>
      <c r="ACZ24" s="47"/>
      <c r="ADA24" s="47"/>
      <c r="ADB24" s="47"/>
      <c r="ADC24" s="47"/>
      <c r="ADD24" s="47"/>
      <c r="ADE24" s="47"/>
      <c r="ADF24" s="47"/>
      <c r="ADG24" s="47"/>
      <c r="ADH24" s="47"/>
      <c r="ADI24" s="47"/>
      <c r="ADJ24" s="47"/>
      <c r="ADK24" s="47"/>
      <c r="ADL24" s="47"/>
      <c r="ADM24" s="47"/>
      <c r="ADN24" s="47"/>
      <c r="ADO24" s="47"/>
      <c r="ADP24" s="47"/>
      <c r="ADQ24" s="47"/>
      <c r="ADR24" s="47"/>
      <c r="ADS24" s="47"/>
      <c r="ADT24" s="47"/>
      <c r="ADU24" s="47"/>
      <c r="ADV24" s="47"/>
      <c r="ADW24" s="47"/>
      <c r="ADX24" s="47"/>
      <c r="ADY24" s="47"/>
      <c r="ADZ24" s="47"/>
      <c r="AEA24" s="47"/>
      <c r="AEB24" s="47"/>
      <c r="AEC24" s="47"/>
      <c r="AED24" s="47"/>
      <c r="AEE24" s="47"/>
      <c r="AEF24" s="47"/>
      <c r="AEG24" s="47"/>
      <c r="AEH24" s="47"/>
      <c r="AEI24" s="47"/>
      <c r="AEJ24" s="47"/>
      <c r="AEK24" s="47"/>
      <c r="AEL24" s="47"/>
      <c r="AEM24" s="47"/>
      <c r="AEN24" s="47"/>
      <c r="AEO24" s="47"/>
      <c r="AEP24" s="47"/>
      <c r="AEQ24" s="47"/>
      <c r="AER24" s="47"/>
      <c r="AES24" s="47"/>
      <c r="AET24" s="47"/>
      <c r="AEU24" s="47"/>
      <c r="AEV24" s="47"/>
      <c r="AEW24" s="47"/>
      <c r="AEX24" s="47"/>
      <c r="AEY24" s="47"/>
      <c r="AEZ24" s="47"/>
      <c r="AFA24" s="47"/>
      <c r="AFB24" s="47"/>
      <c r="AFC24" s="47"/>
      <c r="AFD24" s="47"/>
      <c r="AFE24" s="47"/>
      <c r="AFF24" s="47"/>
      <c r="AFG24" s="47"/>
      <c r="AFH24" s="47"/>
      <c r="AFI24" s="47"/>
      <c r="AFJ24" s="47"/>
      <c r="AFK24" s="47"/>
      <c r="AFL24" s="47"/>
      <c r="AFM24" s="47"/>
      <c r="AFN24" s="47"/>
      <c r="AFO24" s="47"/>
      <c r="AFP24" s="47"/>
      <c r="AFQ24" s="47"/>
      <c r="AFR24" s="47"/>
      <c r="AFS24" s="47"/>
      <c r="AFT24" s="47"/>
      <c r="AFU24" s="47"/>
      <c r="AFV24" s="47"/>
      <c r="AFW24" s="47"/>
      <c r="AFX24" s="47"/>
      <c r="AFY24" s="47"/>
      <c r="AFZ24" s="47"/>
      <c r="AGA24" s="47"/>
      <c r="AGB24" s="47"/>
      <c r="AGC24" s="47"/>
      <c r="AGD24" s="47"/>
      <c r="AGE24" s="47"/>
      <c r="AGF24" s="47"/>
      <c r="AGG24" s="47"/>
      <c r="AGH24" s="47"/>
      <c r="AGI24" s="47"/>
      <c r="AGJ24" s="47"/>
      <c r="AGK24" s="47"/>
      <c r="AGL24" s="47"/>
      <c r="AGM24" s="47"/>
      <c r="AGN24" s="47"/>
      <c r="AGO24" s="47"/>
      <c r="AGP24" s="47"/>
      <c r="AGQ24" s="47"/>
      <c r="AGR24" s="47"/>
      <c r="AGS24" s="47"/>
      <c r="AGT24" s="47"/>
      <c r="AGU24" s="47"/>
      <c r="AGV24" s="47"/>
      <c r="AGW24" s="47"/>
      <c r="AGX24" s="47"/>
      <c r="AGY24" s="47"/>
      <c r="AGZ24" s="47"/>
      <c r="AHA24" s="47"/>
      <c r="AHB24" s="47"/>
      <c r="AHC24" s="47"/>
      <c r="AHD24" s="47"/>
      <c r="AHE24" s="47"/>
      <c r="AHF24" s="47"/>
      <c r="AHG24" s="47"/>
      <c r="AHH24" s="47"/>
      <c r="AHI24" s="47"/>
      <c r="AHJ24" s="47"/>
      <c r="AHK24" s="47"/>
      <c r="AHL24" s="47"/>
      <c r="AHM24" s="47"/>
      <c r="AHN24" s="47"/>
      <c r="AHO24" s="47"/>
      <c r="AHP24" s="47"/>
      <c r="AHQ24" s="47"/>
      <c r="AHR24" s="47"/>
      <c r="AHS24" s="47"/>
      <c r="AHT24" s="47"/>
      <c r="AHU24" s="47"/>
      <c r="AHV24" s="47"/>
      <c r="AHW24" s="47"/>
      <c r="AHX24" s="47"/>
      <c r="AHY24" s="47"/>
      <c r="AHZ24" s="47"/>
      <c r="AIA24" s="47"/>
      <c r="AIB24" s="47"/>
      <c r="AIC24" s="47"/>
      <c r="AID24" s="47"/>
      <c r="AIE24" s="47"/>
      <c r="AIF24" s="47"/>
      <c r="AIG24" s="47"/>
      <c r="AIH24" s="47"/>
      <c r="AII24" s="47"/>
      <c r="AIJ24" s="47"/>
      <c r="AIK24" s="47"/>
      <c r="AIL24" s="47"/>
      <c r="AIM24" s="47"/>
      <c r="AIN24" s="47"/>
      <c r="AIO24" s="47"/>
      <c r="AIP24" s="47"/>
      <c r="AIQ24" s="47"/>
      <c r="AIR24" s="47"/>
      <c r="AIS24" s="47"/>
      <c r="AIT24" s="47"/>
      <c r="AIU24" s="47"/>
      <c r="AIV24" s="47"/>
      <c r="AIW24" s="47"/>
      <c r="AIX24" s="47"/>
      <c r="AIY24" s="47"/>
      <c r="AIZ24" s="47"/>
      <c r="AJA24" s="47"/>
      <c r="AJB24" s="47"/>
      <c r="AJC24" s="47"/>
      <c r="AJD24" s="47"/>
      <c r="AJE24" s="47"/>
      <c r="AJF24" s="47"/>
      <c r="AJG24" s="47"/>
      <c r="AJH24" s="47"/>
      <c r="AJI24" s="47"/>
      <c r="AJJ24" s="47"/>
      <c r="AJK24" s="47"/>
      <c r="AJL24" s="47"/>
      <c r="AJM24" s="47"/>
      <c r="AJN24" s="47"/>
      <c r="AJO24" s="47"/>
      <c r="AJP24" s="47"/>
      <c r="AJQ24" s="47"/>
      <c r="AJR24" s="47"/>
      <c r="AJS24" s="47"/>
      <c r="AJT24" s="47"/>
      <c r="AJU24" s="47"/>
      <c r="AJV24" s="47"/>
      <c r="AJW24" s="47"/>
      <c r="AJX24" s="47"/>
      <c r="AJY24" s="47"/>
      <c r="AJZ24" s="47"/>
      <c r="AKA24" s="47"/>
      <c r="AKB24" s="47"/>
      <c r="AKC24" s="47"/>
      <c r="AKD24" s="47"/>
      <c r="AKE24" s="47"/>
      <c r="AKF24" s="47"/>
      <c r="AKG24" s="47"/>
      <c r="AKH24" s="47"/>
      <c r="AKI24" s="47"/>
      <c r="AKJ24" s="47"/>
      <c r="AKK24" s="47"/>
      <c r="AKL24" s="47"/>
      <c r="AKM24" s="47"/>
      <c r="AKN24" s="47"/>
      <c r="AKO24" s="47"/>
      <c r="AKP24" s="47"/>
      <c r="AKQ24" s="47"/>
      <c r="AKR24" s="47"/>
      <c r="AKS24" s="47"/>
      <c r="AKT24" s="47"/>
      <c r="AKU24" s="47"/>
      <c r="AKV24" s="47"/>
      <c r="AKW24" s="47"/>
      <c r="AKX24" s="47"/>
      <c r="AKY24" s="47"/>
      <c r="AKZ24" s="47"/>
      <c r="ALA24" s="47"/>
      <c r="ALB24" s="47"/>
      <c r="ALC24" s="47"/>
      <c r="ALD24" s="47"/>
      <c r="ALE24" s="47"/>
      <c r="ALF24" s="47"/>
      <c r="ALG24" s="47"/>
      <c r="ALH24" s="47"/>
      <c r="ALI24" s="47"/>
      <c r="ALJ24" s="47"/>
      <c r="ALK24" s="47"/>
      <c r="ALL24" s="47"/>
      <c r="ALM24" s="47"/>
      <c r="ALN24" s="47"/>
      <c r="ALO24" s="47"/>
      <c r="ALP24" s="47"/>
      <c r="ALQ24" s="47"/>
      <c r="ALR24" s="47"/>
      <c r="ALS24" s="47"/>
      <c r="ALT24" s="47"/>
      <c r="ALU24" s="47"/>
      <c r="ALV24" s="47"/>
      <c r="ALW24" s="47"/>
      <c r="ALX24" s="47"/>
      <c r="ALY24" s="47"/>
      <c r="ALZ24" s="47"/>
      <c r="AMA24" s="47"/>
      <c r="AMB24" s="47"/>
      <c r="AMC24" s="47"/>
      <c r="AMD24" s="47"/>
      <c r="AME24" s="47"/>
      <c r="AMF24" s="47"/>
      <c r="AMG24" s="47"/>
      <c r="AMH24" s="47"/>
      <c r="AMI24" s="47"/>
      <c r="AMJ24" s="47"/>
    </row>
    <row r="25" spans="1:1024" ht="11.25" customHeight="1" x14ac:dyDescent="0.3">
      <c r="H25" s="38"/>
      <c r="BC25" s="44"/>
      <c r="BI25" s="5"/>
      <c r="BJ25" s="5"/>
      <c r="BM25" s="44"/>
      <c r="BN25" s="49"/>
      <c r="BO25" s="44"/>
      <c r="BQ25" s="49"/>
      <c r="BR25" s="49"/>
      <c r="BS25" s="49"/>
      <c r="BT25" s="49"/>
      <c r="BU25" s="49"/>
      <c r="BV25" s="49"/>
      <c r="BW25" s="49"/>
      <c r="BX25" s="52"/>
    </row>
    <row r="26" spans="1:1024" ht="11.25" customHeight="1" x14ac:dyDescent="0.3">
      <c r="H26" s="38"/>
      <c r="BC26" s="44"/>
      <c r="BI26" s="5"/>
      <c r="BJ26" s="5"/>
      <c r="BM26" s="44"/>
      <c r="BN26" s="49"/>
      <c r="BO26" s="44"/>
      <c r="BQ26" s="49"/>
      <c r="BR26" s="49"/>
      <c r="BS26" s="49"/>
      <c r="BT26" s="49"/>
      <c r="BU26" s="49"/>
      <c r="BV26" s="49"/>
      <c r="BW26" s="49"/>
      <c r="BX26" s="52"/>
    </row>
    <row r="27" spans="1:1024" ht="11.25" customHeight="1" x14ac:dyDescent="0.3">
      <c r="H27" s="38"/>
      <c r="BC27" s="44"/>
      <c r="BI27" s="5"/>
      <c r="BJ27" s="5"/>
      <c r="BM27" s="44"/>
      <c r="BN27" s="49"/>
      <c r="BO27" s="44"/>
      <c r="BQ27" s="49"/>
      <c r="BR27" s="49"/>
      <c r="BS27" s="49"/>
      <c r="BT27" s="49"/>
      <c r="BU27" s="49"/>
      <c r="BV27" s="49"/>
      <c r="BW27" s="49"/>
      <c r="BX27" s="52"/>
    </row>
    <row r="28" spans="1:1024" ht="11.25" customHeight="1" x14ac:dyDescent="0.3">
      <c r="H28" s="38"/>
      <c r="BC28" s="44"/>
      <c r="BI28" s="5"/>
      <c r="BJ28" s="5"/>
      <c r="BM28" s="44"/>
      <c r="BN28" s="49"/>
      <c r="BO28" s="44"/>
      <c r="BQ28" s="49"/>
      <c r="BR28" s="49"/>
      <c r="BS28" s="49"/>
      <c r="BT28" s="49"/>
      <c r="BU28" s="49"/>
      <c r="BV28" s="49"/>
      <c r="BW28" s="49"/>
      <c r="BX28" s="52"/>
    </row>
    <row r="29" spans="1:1024" ht="11.25" customHeight="1" x14ac:dyDescent="0.3">
      <c r="H29" s="38"/>
      <c r="BC29" s="44"/>
      <c r="BI29" s="5"/>
      <c r="BJ29" s="5"/>
      <c r="BM29" s="44"/>
      <c r="BN29" s="49"/>
      <c r="BO29" s="44"/>
      <c r="BQ29" s="49"/>
      <c r="BR29" s="49"/>
      <c r="BS29" s="49"/>
      <c r="BT29" s="49"/>
      <c r="BU29" s="49"/>
      <c r="BV29" s="49"/>
      <c r="BW29" s="49"/>
      <c r="BX29" s="52"/>
    </row>
    <row r="30" spans="1:1024" ht="11.25" customHeight="1" x14ac:dyDescent="0.3">
      <c r="H30" s="38"/>
      <c r="BC30" s="44"/>
      <c r="BI30" s="5"/>
      <c r="BJ30" s="5"/>
      <c r="BM30" s="44"/>
      <c r="BN30" s="49"/>
      <c r="BO30" s="44"/>
      <c r="BQ30" s="49"/>
      <c r="BR30" s="49"/>
      <c r="BS30" s="49"/>
      <c r="BT30" s="49"/>
      <c r="BU30" s="49"/>
      <c r="BV30" s="49"/>
      <c r="BW30" s="49"/>
      <c r="BX30" s="52"/>
    </row>
    <row r="31" spans="1:1024" ht="11.25" customHeight="1" x14ac:dyDescent="0.3">
      <c r="H31" s="38"/>
      <c r="BC31" s="44"/>
      <c r="BI31" s="5"/>
      <c r="BJ31" s="5"/>
      <c r="BM31" s="44"/>
      <c r="BN31" s="49"/>
      <c r="BO31" s="44"/>
      <c r="BQ31" s="49"/>
      <c r="BR31" s="49"/>
      <c r="BS31" s="49"/>
      <c r="BT31" s="49"/>
      <c r="BU31" s="49"/>
      <c r="BV31" s="49"/>
      <c r="BW31" s="49"/>
      <c r="BX31" s="52"/>
    </row>
    <row r="32" spans="1:1024" ht="11.25" customHeight="1" x14ac:dyDescent="0.3">
      <c r="H32" s="38"/>
      <c r="BC32" s="44"/>
      <c r="BI32" s="5"/>
      <c r="BJ32" s="5"/>
      <c r="BM32" s="44"/>
      <c r="BN32" s="49"/>
      <c r="BO32" s="44"/>
      <c r="BQ32" s="49"/>
      <c r="BR32" s="49"/>
      <c r="BS32" s="49"/>
      <c r="BT32" s="49"/>
      <c r="BU32" s="49"/>
      <c r="BV32" s="49"/>
      <c r="BW32" s="49"/>
      <c r="BX32" s="52"/>
    </row>
    <row r="33" spans="8:76" ht="11.25" customHeight="1" x14ac:dyDescent="0.3">
      <c r="H33" s="38"/>
      <c r="BC33" s="44"/>
      <c r="BI33" s="5"/>
      <c r="BJ33" s="5"/>
      <c r="BM33" s="44"/>
      <c r="BN33" s="49"/>
      <c r="BO33" s="44"/>
      <c r="BQ33" s="49"/>
      <c r="BR33" s="49"/>
      <c r="BS33" s="49"/>
      <c r="BT33" s="49"/>
      <c r="BU33" s="49"/>
      <c r="BV33" s="49"/>
      <c r="BW33" s="49"/>
      <c r="BX33" s="52"/>
    </row>
    <row r="34" spans="8:76" ht="11.25" customHeight="1" x14ac:dyDescent="0.3">
      <c r="H34" s="38"/>
      <c r="BC34" s="44"/>
      <c r="BI34" s="5"/>
      <c r="BJ34" s="5"/>
      <c r="BM34" s="44"/>
      <c r="BN34" s="49"/>
      <c r="BO34" s="44"/>
      <c r="BQ34" s="49"/>
      <c r="BR34" s="49"/>
      <c r="BS34" s="49"/>
      <c r="BT34" s="49"/>
      <c r="BU34" s="49"/>
      <c r="BV34" s="49"/>
      <c r="BW34" s="49"/>
      <c r="BX34" s="52"/>
    </row>
    <row r="35" spans="8:76" ht="11.25" customHeight="1" x14ac:dyDescent="0.3">
      <c r="H35" s="38"/>
      <c r="BC35" s="44"/>
      <c r="BI35" s="5"/>
      <c r="BJ35" s="5"/>
      <c r="BM35" s="44"/>
      <c r="BN35" s="49"/>
      <c r="BO35" s="44"/>
      <c r="BQ35" s="49"/>
      <c r="BR35" s="49"/>
      <c r="BS35" s="49"/>
      <c r="BT35" s="49"/>
      <c r="BU35" s="49"/>
      <c r="BV35" s="49"/>
      <c r="BW35" s="49"/>
      <c r="BX35" s="52"/>
    </row>
    <row r="36" spans="8:76" ht="11.25" customHeight="1" x14ac:dyDescent="0.3">
      <c r="H36" s="38"/>
      <c r="BC36" s="44"/>
      <c r="BI36" s="5"/>
      <c r="BJ36" s="5"/>
      <c r="BM36" s="44"/>
      <c r="BN36" s="49"/>
      <c r="BO36" s="44"/>
      <c r="BQ36" s="49"/>
      <c r="BR36" s="49"/>
      <c r="BS36" s="49"/>
      <c r="BT36" s="49"/>
      <c r="BU36" s="49"/>
      <c r="BV36" s="49"/>
      <c r="BW36" s="49"/>
      <c r="BX36" s="52"/>
    </row>
    <row r="37" spans="8:76" ht="11.25" customHeight="1" x14ac:dyDescent="0.3">
      <c r="H37" s="38"/>
      <c r="BC37" s="44"/>
      <c r="BI37" s="5"/>
      <c r="BJ37" s="5"/>
      <c r="BM37" s="44"/>
      <c r="BN37" s="49"/>
      <c r="BO37" s="44"/>
      <c r="BQ37" s="49"/>
      <c r="BR37" s="49"/>
      <c r="BS37" s="49"/>
      <c r="BT37" s="49"/>
      <c r="BU37" s="49"/>
      <c r="BV37" s="49"/>
      <c r="BW37" s="49"/>
      <c r="BX37" s="52"/>
    </row>
    <row r="38" spans="8:76" ht="11.25" customHeight="1" x14ac:dyDescent="0.3">
      <c r="H38" s="38"/>
      <c r="BC38" s="44"/>
      <c r="BI38" s="5"/>
      <c r="BJ38" s="5"/>
    </row>
    <row r="39" spans="8:76" ht="11.25" customHeight="1" x14ac:dyDescent="0.3">
      <c r="H39" s="38"/>
      <c r="BC39" s="44"/>
      <c r="BI39" s="5"/>
      <c r="BJ39" s="5"/>
    </row>
    <row r="40" spans="8:76" ht="11.25" customHeight="1" x14ac:dyDescent="0.3">
      <c r="H40" s="38"/>
      <c r="BC40" s="44"/>
      <c r="BI40" s="5"/>
      <c r="BJ40" s="5"/>
      <c r="BM40" s="44"/>
      <c r="BN40" s="49"/>
      <c r="BO40" s="44"/>
      <c r="BQ40" s="49"/>
      <c r="BR40" s="49"/>
      <c r="BS40" s="49"/>
      <c r="BT40" s="49"/>
      <c r="BU40" s="49"/>
      <c r="BV40" s="49"/>
      <c r="BW40" s="49"/>
      <c r="BX40" s="52"/>
    </row>
    <row r="41" spans="8:76" ht="11.25" customHeight="1" x14ac:dyDescent="0.3">
      <c r="H41" s="38"/>
      <c r="BC41" s="44"/>
      <c r="BI41" s="5"/>
      <c r="BJ41" s="5"/>
      <c r="BM41" s="44"/>
      <c r="BN41" s="49"/>
      <c r="BO41" s="44"/>
      <c r="BQ41" s="49"/>
      <c r="BR41" s="49"/>
      <c r="BS41" s="49"/>
      <c r="BT41" s="49"/>
      <c r="BU41" s="49"/>
      <c r="BV41" s="49"/>
      <c r="BW41" s="49"/>
      <c r="BX41" s="52"/>
    </row>
    <row r="42" spans="8:76" ht="11.25" customHeight="1" x14ac:dyDescent="0.3">
      <c r="H42" s="38"/>
      <c r="BC42" s="44"/>
      <c r="BI42" s="5"/>
      <c r="BJ42" s="5"/>
      <c r="BM42" s="44"/>
      <c r="BN42" s="49"/>
      <c r="BO42" s="44"/>
      <c r="BQ42" s="49"/>
      <c r="BR42" s="49"/>
      <c r="BS42" s="49"/>
      <c r="BT42" s="49"/>
      <c r="BU42" s="49"/>
      <c r="BV42" s="49"/>
      <c r="BW42" s="49"/>
      <c r="BX42" s="52"/>
    </row>
    <row r="43" spans="8:76" ht="11.25" customHeight="1" x14ac:dyDescent="0.3">
      <c r="H43" s="38"/>
      <c r="BC43" s="44"/>
      <c r="BI43" s="5"/>
      <c r="BJ43" s="5"/>
      <c r="BM43" s="44"/>
      <c r="BN43" s="49"/>
      <c r="BO43" s="44"/>
      <c r="BQ43" s="49"/>
      <c r="BR43" s="49"/>
      <c r="BS43" s="49"/>
      <c r="BT43" s="49"/>
      <c r="BU43" s="49"/>
      <c r="BV43" s="49"/>
      <c r="BW43" s="49"/>
      <c r="BX43" s="52"/>
    </row>
    <row r="44" spans="8:76" ht="11.25" customHeight="1" x14ac:dyDescent="0.3">
      <c r="H44" s="38"/>
      <c r="BC44" s="44"/>
      <c r="BI44" s="5"/>
      <c r="BJ44" s="5"/>
      <c r="BM44" s="44"/>
      <c r="BN44" s="49"/>
      <c r="BO44" s="44"/>
      <c r="BQ44" s="49"/>
      <c r="BR44" s="49"/>
      <c r="BS44" s="49"/>
      <c r="BT44" s="49"/>
      <c r="BU44" s="49"/>
      <c r="BV44" s="49"/>
      <c r="BW44" s="49"/>
      <c r="BX44" s="52"/>
    </row>
    <row r="45" spans="8:76" ht="11.25" customHeight="1" x14ac:dyDescent="0.3">
      <c r="H45" s="38"/>
      <c r="BC45" s="44"/>
      <c r="BI45" s="5"/>
      <c r="BJ45" s="5"/>
      <c r="BM45" s="44"/>
      <c r="BN45" s="49"/>
      <c r="BO45" s="44"/>
      <c r="BQ45" s="49"/>
      <c r="BR45" s="49"/>
      <c r="BS45" s="49"/>
      <c r="BT45" s="49"/>
      <c r="BU45" s="49"/>
      <c r="BV45" s="49"/>
      <c r="BW45" s="49"/>
      <c r="BX45" s="52"/>
    </row>
    <row r="46" spans="8:76" ht="11.25" customHeight="1" x14ac:dyDescent="0.3">
      <c r="H46" s="38"/>
      <c r="BC46" s="44"/>
      <c r="BI46" s="5"/>
      <c r="BJ46" s="5"/>
      <c r="BM46" s="44"/>
      <c r="BN46" s="49"/>
      <c r="BO46" s="44"/>
      <c r="BQ46" s="49"/>
      <c r="BR46" s="49"/>
      <c r="BS46" s="49"/>
      <c r="BT46" s="49"/>
      <c r="BU46" s="49"/>
      <c r="BV46" s="49"/>
      <c r="BW46" s="49"/>
      <c r="BX46" s="52"/>
    </row>
    <row r="47" spans="8:76" ht="11.25" customHeight="1" x14ac:dyDescent="0.3">
      <c r="H47" s="38"/>
      <c r="BC47" s="44"/>
      <c r="BI47" s="5"/>
      <c r="BJ47" s="5"/>
      <c r="BM47" s="44"/>
      <c r="BN47" s="49"/>
      <c r="BO47" s="44"/>
      <c r="BQ47" s="49"/>
      <c r="BR47" s="49"/>
      <c r="BS47" s="49"/>
      <c r="BT47" s="49"/>
      <c r="BU47" s="49"/>
      <c r="BV47" s="49"/>
      <c r="BW47" s="49"/>
      <c r="BX47" s="52"/>
    </row>
    <row r="48" spans="8:76" ht="11.25" customHeight="1" x14ac:dyDescent="0.3">
      <c r="H48" s="38"/>
      <c r="BC48" s="44"/>
      <c r="BI48" s="5"/>
      <c r="BJ48" s="5"/>
      <c r="BM48" s="44"/>
      <c r="BN48" s="49"/>
      <c r="BO48" s="44"/>
      <c r="BQ48" s="49"/>
      <c r="BR48" s="49"/>
      <c r="BS48" s="49"/>
      <c r="BT48" s="49"/>
      <c r="BU48" s="49"/>
      <c r="BV48" s="49"/>
      <c r="BW48" s="49"/>
      <c r="BX48" s="52"/>
    </row>
    <row r="49" spans="8:76" ht="11.25" customHeight="1" x14ac:dyDescent="0.3">
      <c r="H49" s="38"/>
      <c r="BC49" s="44"/>
      <c r="BI49" s="5"/>
      <c r="BJ49" s="5"/>
      <c r="BM49" s="44"/>
      <c r="BN49" s="49"/>
      <c r="BO49" s="44"/>
      <c r="BQ49" s="49"/>
      <c r="BR49" s="49"/>
      <c r="BS49" s="49"/>
      <c r="BT49" s="49"/>
      <c r="BU49" s="49"/>
      <c r="BV49" s="49"/>
      <c r="BW49" s="49"/>
      <c r="BX49" s="52"/>
    </row>
    <row r="50" spans="8:76" ht="11.25" customHeight="1" x14ac:dyDescent="0.3">
      <c r="H50" s="38"/>
      <c r="BC50" s="44"/>
      <c r="BI50" s="5"/>
      <c r="BJ50" s="5"/>
      <c r="BM50" s="44"/>
      <c r="BN50" s="49"/>
      <c r="BO50" s="44"/>
      <c r="BQ50" s="49"/>
      <c r="BR50" s="49"/>
      <c r="BS50" s="49"/>
      <c r="BT50" s="49"/>
      <c r="BU50" s="49"/>
      <c r="BV50" s="49"/>
      <c r="BW50" s="49"/>
      <c r="BX50" s="52"/>
    </row>
    <row r="51" spans="8:76" ht="11.25" customHeight="1" x14ac:dyDescent="0.3">
      <c r="H51" s="38"/>
      <c r="BC51" s="44"/>
      <c r="BI51" s="5"/>
      <c r="BJ51" s="5"/>
      <c r="BM51" s="44"/>
      <c r="BN51" s="49"/>
      <c r="BO51" s="44"/>
      <c r="BQ51" s="49"/>
      <c r="BR51" s="49"/>
      <c r="BS51" s="49"/>
      <c r="BT51" s="49"/>
      <c r="BU51" s="49"/>
      <c r="BV51" s="49"/>
      <c r="BW51" s="49"/>
      <c r="BX51" s="52"/>
    </row>
    <row r="52" spans="8:76" ht="11.25" customHeight="1" x14ac:dyDescent="0.3">
      <c r="H52" s="38"/>
      <c r="BC52" s="44"/>
      <c r="BI52" s="5"/>
      <c r="BJ52" s="5"/>
      <c r="BM52" s="44"/>
      <c r="BN52" s="49"/>
      <c r="BO52" s="44"/>
      <c r="BQ52" s="49"/>
      <c r="BR52" s="49"/>
      <c r="BS52" s="49"/>
      <c r="BT52" s="49"/>
      <c r="BU52" s="49"/>
      <c r="BV52" s="49"/>
      <c r="BW52" s="49"/>
      <c r="BX52" s="52"/>
    </row>
    <row r="53" spans="8:76" ht="11.25" customHeight="1" x14ac:dyDescent="0.3">
      <c r="H53" s="38"/>
      <c r="BC53" s="44"/>
      <c r="BI53" s="5"/>
      <c r="BJ53" s="5"/>
      <c r="BM53" s="44"/>
      <c r="BN53" s="49"/>
      <c r="BO53" s="44"/>
      <c r="BQ53" s="49"/>
      <c r="BR53" s="49"/>
      <c r="BS53" s="49"/>
      <c r="BT53" s="49"/>
      <c r="BU53" s="49"/>
      <c r="BV53" s="49"/>
      <c r="BW53" s="49"/>
      <c r="BX53" s="52"/>
    </row>
    <row r="54" spans="8:76" ht="11.25" customHeight="1" x14ac:dyDescent="0.3">
      <c r="H54" s="38"/>
      <c r="BC54" s="44"/>
      <c r="BI54" s="5"/>
      <c r="BJ54" s="5"/>
      <c r="BM54" s="44"/>
      <c r="BN54" s="49"/>
      <c r="BO54" s="44"/>
      <c r="BQ54" s="49"/>
      <c r="BR54" s="49"/>
      <c r="BS54" s="49"/>
      <c r="BT54" s="49"/>
      <c r="BU54" s="49"/>
      <c r="BV54" s="49"/>
      <c r="BW54" s="49"/>
      <c r="BX54" s="52"/>
    </row>
    <row r="55" spans="8:76" ht="11.25" customHeight="1" x14ac:dyDescent="0.3">
      <c r="H55" s="38"/>
      <c r="BC55" s="44"/>
      <c r="BI55" s="5"/>
      <c r="BJ55" s="5"/>
      <c r="BM55" s="44"/>
      <c r="BN55" s="49"/>
      <c r="BO55" s="44"/>
      <c r="BQ55" s="49"/>
      <c r="BR55" s="49"/>
      <c r="BS55" s="49"/>
      <c r="BT55" s="49"/>
      <c r="BU55" s="49"/>
      <c r="BV55" s="49"/>
      <c r="BW55" s="49"/>
      <c r="BX55" s="52"/>
    </row>
    <row r="56" spans="8:76" ht="11.25" customHeight="1" x14ac:dyDescent="0.3">
      <c r="H56" s="38"/>
      <c r="BC56" s="44"/>
      <c r="BI56" s="5"/>
      <c r="BJ56" s="5"/>
      <c r="BM56" s="44"/>
      <c r="BN56" s="49"/>
      <c r="BO56" s="44"/>
      <c r="BQ56" s="49"/>
      <c r="BR56" s="49"/>
      <c r="BS56" s="49"/>
      <c r="BT56" s="49"/>
      <c r="BU56" s="49"/>
      <c r="BV56" s="49"/>
      <c r="BW56" s="49"/>
      <c r="BX56" s="52"/>
    </row>
    <row r="57" spans="8:76" ht="11.25" customHeight="1" x14ac:dyDescent="0.3">
      <c r="H57" s="38"/>
      <c r="BC57" s="44"/>
      <c r="BI57" s="5"/>
      <c r="BJ57" s="5"/>
      <c r="BM57" s="44"/>
      <c r="BN57" s="49"/>
      <c r="BO57" s="44"/>
      <c r="BQ57" s="49"/>
      <c r="BR57" s="49"/>
      <c r="BS57" s="49"/>
      <c r="BT57" s="49"/>
      <c r="BU57" s="49"/>
      <c r="BV57" s="49"/>
      <c r="BW57" s="49"/>
      <c r="BX57" s="52"/>
    </row>
    <row r="58" spans="8:76" ht="11.25" customHeight="1" x14ac:dyDescent="0.3">
      <c r="H58" s="38"/>
      <c r="BC58" s="44"/>
      <c r="BI58" s="5"/>
      <c r="BJ58" s="5"/>
      <c r="BM58" s="44"/>
      <c r="BN58" s="49"/>
      <c r="BO58" s="44"/>
      <c r="BQ58" s="49"/>
      <c r="BR58" s="49"/>
      <c r="BS58" s="49"/>
      <c r="BT58" s="49"/>
      <c r="BU58" s="49"/>
      <c r="BV58" s="49"/>
      <c r="BW58" s="49"/>
      <c r="BX58" s="52"/>
    </row>
    <row r="59" spans="8:76" ht="11.25" customHeight="1" x14ac:dyDescent="0.3">
      <c r="H59" s="38"/>
      <c r="BC59" s="44"/>
      <c r="BI59" s="5"/>
      <c r="BJ59" s="5"/>
      <c r="BM59" s="44"/>
      <c r="BN59" s="49"/>
      <c r="BO59" s="44"/>
      <c r="BQ59" s="49"/>
      <c r="BR59" s="49"/>
      <c r="BS59" s="49"/>
      <c r="BT59" s="49"/>
      <c r="BU59" s="49"/>
      <c r="BV59" s="49"/>
      <c r="BW59" s="49"/>
      <c r="BX59" s="52"/>
    </row>
    <row r="60" spans="8:76" ht="11.25" customHeight="1" x14ac:dyDescent="0.3">
      <c r="H60" s="38"/>
      <c r="BC60" s="44"/>
      <c r="BI60" s="5"/>
      <c r="BJ60" s="5"/>
    </row>
    <row r="61" spans="8:76" ht="11.25" customHeight="1" x14ac:dyDescent="0.3">
      <c r="H61" s="38"/>
      <c r="BC61" s="44"/>
      <c r="BI61" s="5"/>
      <c r="BJ61" s="5"/>
    </row>
    <row r="62" spans="8:76" ht="11.25" customHeight="1" x14ac:dyDescent="0.3">
      <c r="H62" s="38"/>
      <c r="BC62" s="44"/>
      <c r="BI62" s="5"/>
      <c r="BJ62" s="5"/>
    </row>
    <row r="63" spans="8:76" ht="11.25" customHeight="1" x14ac:dyDescent="0.3">
      <c r="H63" s="38"/>
      <c r="BC63" s="44"/>
      <c r="BI63" s="5"/>
      <c r="BJ63" s="5"/>
    </row>
    <row r="64" spans="8:76" ht="11.25" customHeight="1" x14ac:dyDescent="0.3">
      <c r="H64" s="38"/>
      <c r="BC64" s="44"/>
      <c r="BI64" s="5"/>
      <c r="BJ64" s="5"/>
    </row>
    <row r="65" spans="8:76" ht="11.25" customHeight="1" x14ac:dyDescent="0.3">
      <c r="H65" s="38"/>
      <c r="BC65" s="44"/>
      <c r="BI65" s="5"/>
      <c r="BJ65" s="5"/>
    </row>
    <row r="66" spans="8:76" ht="11.25" customHeight="1" x14ac:dyDescent="0.3">
      <c r="H66" s="38"/>
      <c r="BC66" s="44"/>
      <c r="BI66" s="5"/>
      <c r="BJ66" s="5"/>
    </row>
    <row r="67" spans="8:76" ht="11.25" customHeight="1" x14ac:dyDescent="0.3">
      <c r="H67" s="38"/>
      <c r="BC67" s="44"/>
      <c r="BI67" s="5"/>
      <c r="BJ67" s="5"/>
    </row>
    <row r="68" spans="8:76" ht="11.25" customHeight="1" x14ac:dyDescent="0.3">
      <c r="H68" s="38"/>
      <c r="BC68" s="44"/>
      <c r="BI68" s="5"/>
      <c r="BJ68" s="5"/>
    </row>
    <row r="69" spans="8:76" ht="11.25" customHeight="1" x14ac:dyDescent="0.3">
      <c r="H69" s="38"/>
      <c r="BC69" s="44"/>
      <c r="BI69" s="5"/>
      <c r="BJ69" s="5"/>
      <c r="BM69" s="44"/>
      <c r="BN69" s="49"/>
      <c r="BO69" s="44"/>
      <c r="BQ69" s="49"/>
      <c r="BR69" s="49"/>
      <c r="BS69" s="49"/>
      <c r="BT69" s="49"/>
      <c r="BU69" s="49"/>
      <c r="BV69" s="49"/>
      <c r="BW69" s="49"/>
      <c r="BX69" s="52"/>
    </row>
    <row r="70" spans="8:76" ht="11.25" customHeight="1" x14ac:dyDescent="0.3">
      <c r="H70" s="38"/>
      <c r="BC70" s="44"/>
      <c r="BI70" s="5"/>
      <c r="BJ70" s="5"/>
      <c r="BM70" s="44"/>
      <c r="BN70" s="49"/>
      <c r="BO70" s="44"/>
      <c r="BQ70" s="49"/>
      <c r="BR70" s="49"/>
      <c r="BS70" s="49"/>
      <c r="BT70" s="49"/>
      <c r="BU70" s="49"/>
      <c r="BV70" s="49"/>
      <c r="BW70" s="49"/>
      <c r="BX70" s="52"/>
    </row>
    <row r="71" spans="8:76" ht="11.25" customHeight="1" x14ac:dyDescent="0.3">
      <c r="H71" s="38"/>
      <c r="BC71" s="44"/>
      <c r="BI71" s="5"/>
      <c r="BJ71" s="5"/>
    </row>
    <row r="72" spans="8:76" ht="11.25" customHeight="1" x14ac:dyDescent="0.3">
      <c r="H72" s="38"/>
      <c r="BC72" s="44"/>
      <c r="BI72" s="5"/>
      <c r="BJ72" s="5"/>
    </row>
    <row r="73" spans="8:76" ht="11.25" customHeight="1" x14ac:dyDescent="0.3">
      <c r="H73" s="38"/>
      <c r="BC73" s="44"/>
      <c r="BI73" s="5"/>
      <c r="BJ73" s="5"/>
    </row>
    <row r="74" spans="8:76" ht="11.25" customHeight="1" x14ac:dyDescent="0.3">
      <c r="H74" s="38"/>
      <c r="BC74" s="44"/>
      <c r="BI74" s="5"/>
      <c r="BJ74" s="5"/>
    </row>
    <row r="75" spans="8:76" ht="11.25" customHeight="1" x14ac:dyDescent="0.3">
      <c r="H75" s="38"/>
      <c r="BC75" s="44"/>
      <c r="BI75" s="5"/>
      <c r="BJ75" s="5"/>
    </row>
    <row r="76" spans="8:76" ht="11.25" customHeight="1" x14ac:dyDescent="0.3">
      <c r="H76" s="38"/>
      <c r="AH76" s="2"/>
      <c r="AI76" s="81"/>
      <c r="AJ76" s="63"/>
      <c r="BC76" s="44"/>
      <c r="BI76" s="5"/>
      <c r="BJ76" s="5"/>
    </row>
    <row r="77" spans="8:76" ht="11.25" customHeight="1" x14ac:dyDescent="0.3">
      <c r="H77" s="38"/>
      <c r="BC77" s="44"/>
      <c r="BI77" s="5"/>
      <c r="BJ77" s="5"/>
    </row>
    <row r="78" spans="8:76" ht="11.25" customHeight="1" x14ac:dyDescent="0.3">
      <c r="H78" s="38"/>
      <c r="BC78" s="44"/>
      <c r="BI78" s="5"/>
      <c r="BJ78" s="5"/>
    </row>
    <row r="79" spans="8:76" ht="11.25" customHeight="1" x14ac:dyDescent="0.3">
      <c r="H79" s="38"/>
      <c r="BC79" s="44"/>
      <c r="BI79" s="5"/>
      <c r="BJ79" s="5"/>
    </row>
    <row r="80" spans="8:76" ht="11.25" customHeight="1" x14ac:dyDescent="0.3">
      <c r="H80" s="38"/>
      <c r="BC80" s="44"/>
      <c r="BI80" s="5"/>
      <c r="BJ80" s="5"/>
    </row>
    <row r="81" spans="8:62" ht="11.25" customHeight="1" x14ac:dyDescent="0.3">
      <c r="H81" s="38"/>
      <c r="BC81" s="44"/>
      <c r="BI81" s="5"/>
      <c r="BJ81" s="5"/>
    </row>
    <row r="82" spans="8:62" ht="11.25" customHeight="1" x14ac:dyDescent="0.3">
      <c r="H82" s="38"/>
      <c r="BC82" s="44"/>
      <c r="BI82" s="5"/>
      <c r="BJ82" s="5"/>
    </row>
    <row r="83" spans="8:62" ht="11.25" customHeight="1" x14ac:dyDescent="0.3">
      <c r="H83" s="38"/>
      <c r="BC83" s="44"/>
      <c r="BI83" s="5"/>
      <c r="BJ83" s="5"/>
    </row>
    <row r="84" spans="8:62" ht="11.25" customHeight="1" x14ac:dyDescent="0.3">
      <c r="H84" s="38"/>
      <c r="BC84" s="44"/>
      <c r="BI84" s="5"/>
      <c r="BJ84" s="5"/>
    </row>
    <row r="85" spans="8:62" ht="11.25" customHeight="1" x14ac:dyDescent="0.3">
      <c r="H85" s="38"/>
      <c r="BC85" s="44"/>
      <c r="BI85" s="5"/>
      <c r="BJ85" s="5"/>
    </row>
    <row r="86" spans="8:62" ht="11.25" customHeight="1" x14ac:dyDescent="0.3">
      <c r="H86" s="38"/>
      <c r="BC86" s="44"/>
      <c r="BI86" s="5"/>
      <c r="BJ86" s="5"/>
    </row>
    <row r="87" spans="8:62" ht="11.25" customHeight="1" x14ac:dyDescent="0.3">
      <c r="H87" s="38"/>
      <c r="BC87" s="44"/>
      <c r="BI87" s="5"/>
      <c r="BJ87" s="5"/>
    </row>
    <row r="88" spans="8:62" ht="11.25" customHeight="1" x14ac:dyDescent="0.3">
      <c r="H88" s="38"/>
      <c r="BC88" s="44"/>
      <c r="BI88" s="5"/>
      <c r="BJ88" s="5"/>
    </row>
    <row r="89" spans="8:62" ht="11.25" customHeight="1" x14ac:dyDescent="0.3">
      <c r="H89" s="38"/>
      <c r="BC89" s="44"/>
      <c r="BI89" s="5"/>
      <c r="BJ89" s="5"/>
    </row>
    <row r="90" spans="8:62" ht="11.25" customHeight="1" x14ac:dyDescent="0.3">
      <c r="H90" s="38"/>
      <c r="BC90" s="44"/>
      <c r="BI90" s="5"/>
      <c r="BJ90" s="5"/>
    </row>
    <row r="91" spans="8:62" ht="11.25" customHeight="1" x14ac:dyDescent="0.3">
      <c r="H91" s="38"/>
      <c r="BC91" s="44"/>
      <c r="BI91" s="5"/>
      <c r="BJ91" s="5"/>
    </row>
  </sheetData>
  <autoFilter ref="A1:AMJ24" xr:uid="{00000000-0001-0000-0100-000000000000}"/>
  <pageMargins left="0.7" right="0.7" top="0.75" bottom="0.75" header="0.511811023622047" footer="0.511811023622047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8050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ON</vt:lpstr>
      <vt:lpstr>OFF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 PC</dc:creator>
  <dc:description/>
  <cp:lastModifiedBy>SERGIO - Shackleton Crew Matters</cp:lastModifiedBy>
  <cp:revision>156</cp:revision>
  <dcterms:created xsi:type="dcterms:W3CDTF">2024-10-08T01:43:15Z</dcterms:created>
  <dcterms:modified xsi:type="dcterms:W3CDTF">2025-05-17T16:00:20Z</dcterms:modified>
  <dc:language>es-CL</dc:language>
</cp:coreProperties>
</file>