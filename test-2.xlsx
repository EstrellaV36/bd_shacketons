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N" sheetId="1" state="visible" r:id="rId2"/>
    <sheet name="OFF" sheetId="2" state="visible" r:id="rId3"/>
  </sheets>
  <definedNames>
    <definedName function="false" hidden="true" localSheetId="1" name="_xlnm._FilterDatabase" vbProcedure="false">OFF!$A$1:$CQ$20</definedName>
    <definedName function="false" hidden="true" localSheetId="0" name="_xlnm._FilterDatabase" vbProcedure="false">ON!$A$1:$DC$20</definedName>
    <definedName function="false" hidden="false" name="Clientes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S2" authorId="0">
      <text>
        <r>
          <rPr>
            <sz val="11"/>
            <color rgb="FF000000"/>
            <rFont val="Calibri"/>
            <family val="2"/>
            <charset val="1"/>
          </rPr>
          <t xml:space="preserve">Puede quedar vacío</t>
        </r>
      </text>
    </comment>
    <comment ref="V2" authorId="0">
      <text>
        <r>
          <rPr>
            <sz val="11"/>
            <color rgb="FF000000"/>
            <rFont val="Calibri"/>
            <family val="2"/>
            <charset val="1"/>
          </rPr>
          <t xml:space="preserve">“NO” obligado</t>
        </r>
      </text>
    </comment>
    <comment ref="Y2" authorId="0">
      <text>
        <r>
          <rPr>
            <sz val="11"/>
            <color rgb="FF000000"/>
            <rFont val="Calibri"/>
            <family val="2"/>
            <charset val="1"/>
          </rPr>
          <t xml:space="preserve">“NO” obligatorio y asume las dos celdas siguientes</t>
        </r>
      </text>
    </comment>
    <comment ref="AH2" authorId="0">
      <text>
        <r>
          <rPr>
            <sz val="11"/>
            <color rgb="FF000000"/>
            <rFont val="Calibri"/>
            <family val="2"/>
            <charset val="1"/>
          </rPr>
          <t xml:space="preserve">“NO” obligatorio y asume las dos celdas siguientes</t>
        </r>
      </text>
    </comment>
    <comment ref="AK2" authorId="0">
      <text>
        <r>
          <rPr>
            <sz val="11"/>
            <color rgb="FF000000"/>
            <rFont val="Calibri"/>
            <family val="2"/>
            <charset val="1"/>
          </rPr>
          <t xml:space="preserve">“NO” obligatorio y asume las dos celdas siguientes</t>
        </r>
      </text>
    </comment>
    <comment ref="AN1" authorId="0">
      <text>
        <r>
          <rPr>
            <sz val="11"/>
            <color rgb="FF000000"/>
            <rFont val="Calibri"/>
            <family val="2"/>
            <charset val="1"/>
          </rPr>
          <t xml:space="preserve">Tipo de transporte regional (BUS, DAP, FERRY)</t>
        </r>
      </text>
    </comment>
    <comment ref="AN2" authorId="0">
      <text>
        <r>
          <rPr>
            <sz val="11"/>
            <color rgb="FF000000"/>
            <rFont val="Calibri"/>
            <family val="2"/>
            <charset val="1"/>
          </rPr>
          <t xml:space="preserve">“NO” obligatorio y asume las dos celdas siguientes</t>
        </r>
      </text>
    </comment>
    <comment ref="AQ2" authorId="0">
      <text>
        <r>
          <rPr>
            <sz val="11"/>
            <color rgb="FF000000"/>
            <rFont val="Calibri"/>
            <family val="2"/>
            <charset val="1"/>
          </rPr>
          <t xml:space="preserve">“NO” obligatorio y asume las demás celdas</t>
        </r>
      </text>
    </comment>
    <comment ref="AS2" authorId="0">
      <text>
        <r>
          <rPr>
            <sz val="11"/>
            <color rgb="FF000000"/>
            <rFont val="Calibri"/>
            <family val="2"/>
            <charset val="1"/>
          </rPr>
          <t xml:space="preserve">“NO” obligatorio y asume las demás celdas</t>
        </r>
      </text>
    </comment>
    <comment ref="AU2" authorId="0">
      <text>
        <r>
          <rPr>
            <sz val="11"/>
            <color rgb="FF000000"/>
            <rFont val="Calibri"/>
            <family val="2"/>
            <charset val="1"/>
          </rPr>
          <t xml:space="preserve">“NO” obligatorio y asume las demás celdas</t>
        </r>
      </text>
    </comment>
    <comment ref="AX2" authorId="0">
      <text>
        <r>
          <rPr>
            <sz val="11"/>
            <color rgb="FF000000"/>
            <rFont val="Calibri"/>
            <family val="2"/>
            <charset val="1"/>
          </rPr>
          <t xml:space="preserve">“NO” obligatorio y asume las demás celdas</t>
        </r>
      </text>
    </comment>
    <comment ref="BB2" authorId="0">
      <text>
        <r>
          <rPr>
            <sz val="11"/>
            <color rgb="FF000000"/>
            <rFont val="Calibri"/>
            <family val="2"/>
            <charset val="1"/>
          </rPr>
          <t xml:space="preserve">“TBC” obligatorio</t>
        </r>
      </text>
    </comment>
    <comment ref="BC2" authorId="0">
      <text>
        <r>
          <rPr>
            <sz val="11"/>
            <color rgb="FF000000"/>
            <rFont val="Calibri"/>
            <family val="2"/>
            <charset val="1"/>
          </rPr>
          <t xml:space="preserve">“NO” obligatorio y asume las demás celdas</t>
        </r>
      </text>
    </comment>
    <comment ref="BG2" authorId="0">
      <text>
        <r>
          <rPr>
            <sz val="11"/>
            <color rgb="FF000000"/>
            <rFont val="Calibri"/>
            <family val="2"/>
            <charset val="1"/>
          </rPr>
          <t xml:space="preserve">“TBC” obligatorio</t>
        </r>
      </text>
    </comment>
    <comment ref="BH2" authorId="0">
      <text>
        <r>
          <rPr>
            <sz val="11"/>
            <color rgb="FF000000"/>
            <rFont val="Calibri"/>
            <family val="2"/>
            <charset val="1"/>
          </rPr>
          <t xml:space="preserve">“NO” obligatorio y asume las demás celdas</t>
        </r>
      </text>
    </comment>
    <comment ref="BL2" authorId="0">
      <text>
        <r>
          <rPr>
            <sz val="11"/>
            <color rgb="FF000000"/>
            <rFont val="Calibri"/>
            <family val="2"/>
            <charset val="1"/>
          </rPr>
          <t xml:space="preserve">“TBC” obligatorio
</t>
        </r>
      </text>
    </comment>
    <comment ref="BM2" authorId="0">
      <text>
        <r>
          <rPr>
            <sz val="11"/>
            <color rgb="FF000000"/>
            <rFont val="Calibri"/>
            <family val="2"/>
            <charset val="1"/>
          </rPr>
          <t xml:space="preserve">“NO” obligatorio y asume las demás celdas</t>
        </r>
      </text>
    </comment>
    <comment ref="BS2" authorId="0">
      <text>
        <r>
          <rPr>
            <sz val="11"/>
            <color rgb="FF000000"/>
            <rFont val="Calibri"/>
            <family val="2"/>
            <charset val="1"/>
          </rPr>
          <t xml:space="preserve">“NO” obligatorio y asume las demás celdas</t>
        </r>
      </text>
    </comment>
    <comment ref="CE2" authorId="0">
      <text>
        <r>
          <rPr>
            <sz val="11"/>
            <color rgb="FF000000"/>
            <rFont val="Calibri"/>
            <family val="2"/>
            <charset val="1"/>
          </rPr>
          <t xml:space="preserve">“NO” obligatorio y asume las demás celdas</t>
        </r>
      </text>
    </comment>
    <comment ref="CK2" authorId="0">
      <text>
        <r>
          <rPr>
            <sz val="11"/>
            <color rgb="FF000000"/>
            <rFont val="Calibri"/>
            <family val="2"/>
            <charset val="1"/>
          </rPr>
          <t xml:space="preserve">Formato abierto</t>
        </r>
      </text>
    </comment>
    <comment ref="CL2" authorId="0">
      <text>
        <r>
          <rPr>
            <sz val="11"/>
            <color rgb="FF000000"/>
            <rFont val="Calibri"/>
            <family val="2"/>
            <charset val="1"/>
          </rPr>
          <t xml:space="preserve">Formato abierto</t>
        </r>
      </text>
    </comment>
    <comment ref="CO2" authorId="0">
      <text>
        <r>
          <rPr>
            <sz val="11"/>
            <color rgb="FF000000"/>
            <rFont val="Calibri"/>
            <family val="2"/>
            <charset val="1"/>
          </rPr>
          <t xml:space="preserve">Formato abierto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S2" authorId="0">
      <text>
        <r>
          <rPr>
            <sz val="11"/>
            <color rgb="FF000000"/>
            <rFont val="Calibri"/>
            <family val="2"/>
            <charset val="1"/>
          </rPr>
          <t xml:space="preserve">Puede quedar vacía</t>
        </r>
      </text>
    </comment>
    <comment ref="V2" authorId="0">
      <text>
        <r>
          <rPr>
            <sz val="11"/>
            <color rgb="FF000000"/>
            <rFont val="Calibri"/>
            <family val="2"/>
            <charset val="1"/>
          </rPr>
          <t xml:space="preserve">“NO” obligatorio y asume las demás celdas</t>
        </r>
      </text>
    </comment>
    <comment ref="Y2" authorId="0">
      <text>
        <r>
          <rPr>
            <sz val="11"/>
            <color rgb="FF000000"/>
            <rFont val="Calibri"/>
            <family val="2"/>
            <charset val="1"/>
          </rPr>
          <t xml:space="preserve">“NO” obligatorio y asume las demás celdas</t>
        </r>
      </text>
    </comment>
    <comment ref="AB2" authorId="0">
      <text>
        <r>
          <rPr>
            <sz val="11"/>
            <color rgb="FF000000"/>
            <rFont val="Calibri"/>
            <family val="2"/>
            <charset val="1"/>
          </rPr>
          <t xml:space="preserve">“NO” obligatorio y asume las demás celdas</t>
        </r>
      </text>
    </comment>
    <comment ref="AE2" authorId="0">
      <text>
        <r>
          <rPr>
            <sz val="11"/>
            <color rgb="FF000000"/>
            <rFont val="Calibri"/>
            <family val="2"/>
            <charset val="1"/>
          </rPr>
          <t xml:space="preserve">“NO” obligatorio y asume las demás celdas</t>
        </r>
      </text>
    </comment>
    <comment ref="AG2" authorId="0">
      <text>
        <r>
          <rPr>
            <sz val="11"/>
            <color rgb="FF000000"/>
            <rFont val="Calibri"/>
            <family val="2"/>
            <charset val="1"/>
          </rPr>
          <t xml:space="preserve">“NO” obligatorio y asume las demás celdas</t>
        </r>
      </text>
    </comment>
    <comment ref="AI2" authorId="0">
      <text>
        <r>
          <rPr>
            <sz val="11"/>
            <color rgb="FF000000"/>
            <rFont val="Calibri"/>
            <family val="2"/>
            <charset val="1"/>
          </rPr>
          <t xml:space="preserve">“NO” obligatorio y asume las demás celdas</t>
        </r>
      </text>
    </comment>
    <comment ref="AL2" authorId="0">
      <text>
        <r>
          <rPr>
            <sz val="11"/>
            <color rgb="FF000000"/>
            <rFont val="Calibri"/>
            <family val="2"/>
            <charset val="1"/>
          </rPr>
          <t xml:space="preserve">“NO” obligatorio y asume las demás celdas</t>
        </r>
      </text>
    </comment>
    <comment ref="AP2" authorId="0">
      <text>
        <r>
          <rPr>
            <sz val="11"/>
            <color rgb="FF000000"/>
            <rFont val="Calibri"/>
            <family val="2"/>
            <charset val="1"/>
          </rPr>
          <t xml:space="preserve">“TBC” obligatorio</t>
        </r>
      </text>
    </comment>
    <comment ref="AQ2" authorId="0">
      <text>
        <r>
          <rPr>
            <sz val="11"/>
            <color rgb="FF000000"/>
            <rFont val="Calibri"/>
            <family val="2"/>
            <charset val="1"/>
          </rPr>
          <t xml:space="preserve">“NO” obligatorio y asume las demás celdas</t>
        </r>
      </text>
    </comment>
    <comment ref="AU2" authorId="0">
      <text>
        <r>
          <rPr>
            <sz val="11"/>
            <color rgb="FF000000"/>
            <rFont val="Calibri"/>
            <family val="2"/>
            <charset val="1"/>
          </rPr>
          <t xml:space="preserve">“TBC” obligatorio</t>
        </r>
      </text>
    </comment>
    <comment ref="AZ2" authorId="0">
      <text>
        <r>
          <rPr>
            <sz val="11"/>
            <color rgb="FF000000"/>
            <rFont val="Calibri"/>
            <family val="2"/>
            <charset val="1"/>
          </rPr>
          <t xml:space="preserve">“TBC” obligatorio</t>
        </r>
      </text>
    </comment>
    <comment ref="BA2" authorId="0">
      <text>
        <r>
          <rPr>
            <sz val="11"/>
            <color rgb="FF000000"/>
            <rFont val="Calibri"/>
            <family val="2"/>
            <charset val="1"/>
          </rPr>
          <t xml:space="preserve">“NO” obligatorio y asume las demás celdas</t>
        </r>
      </text>
    </comment>
    <comment ref="BG2" authorId="0">
      <text>
        <r>
          <rPr>
            <sz val="11"/>
            <color rgb="FF000000"/>
            <rFont val="Calibri"/>
            <family val="2"/>
            <charset val="1"/>
          </rPr>
          <t xml:space="preserve">“NO” obligatorio y asume las demás celdas</t>
        </r>
      </text>
    </comment>
    <comment ref="BM2" authorId="0">
      <text>
        <r>
          <rPr>
            <sz val="11"/>
            <color rgb="FF000000"/>
            <rFont val="Calibri"/>
            <family val="2"/>
            <charset val="1"/>
          </rPr>
          <t xml:space="preserve">“NO” obligatorio y asume las demás celdas</t>
        </r>
      </text>
    </comment>
    <comment ref="BS2" authorId="0">
      <text>
        <r>
          <rPr>
            <sz val="11"/>
            <color rgb="FF000000"/>
            <rFont val="Calibri"/>
            <family val="2"/>
            <charset val="1"/>
          </rPr>
          <t xml:space="preserve">“NO” obligatorio y asume las demás celdas</t>
        </r>
      </text>
    </comment>
    <comment ref="BY2" authorId="0">
      <text>
        <r>
          <rPr>
            <sz val="11"/>
            <color rgb="FF000000"/>
            <rFont val="Calibri"/>
            <family val="2"/>
            <charset val="1"/>
          </rPr>
          <t xml:space="preserve">Formato abierto</t>
        </r>
      </text>
    </comment>
    <comment ref="BZ2" authorId="0">
      <text>
        <r>
          <rPr>
            <sz val="11"/>
            <color rgb="FF000000"/>
            <rFont val="Calibri"/>
            <family val="2"/>
            <charset val="1"/>
          </rPr>
          <t xml:space="preserve">Formato abierto</t>
        </r>
      </text>
    </comment>
    <comment ref="CL2" authorId="0">
      <text>
        <r>
          <rPr>
            <sz val="11"/>
            <color rgb="FF000000"/>
            <rFont val="Calibri"/>
            <family val="2"/>
            <charset val="1"/>
          </rPr>
          <t xml:space="preserve">Escritura obligatoria</t>
        </r>
      </text>
    </comment>
    <comment ref="CM2" authorId="0">
      <text>
        <r>
          <rPr>
            <sz val="11"/>
            <color rgb="FF000000"/>
            <rFont val="Calibri"/>
            <family val="2"/>
            <charset val="1"/>
          </rPr>
          <t xml:space="preserve">Escritura obligatoria</t>
        </r>
      </text>
    </comment>
    <comment ref="CN2" authorId="0">
      <text>
        <r>
          <rPr>
            <sz val="11"/>
            <color rgb="FF000000"/>
            <rFont val="Calibri"/>
            <family val="2"/>
            <charset val="1"/>
          </rPr>
          <t xml:space="preserve">Escritura obligatorio</t>
        </r>
      </text>
    </comment>
  </commentList>
</comments>
</file>

<file path=xl/sharedStrings.xml><?xml version="1.0" encoding="utf-8"?>
<sst xmlns="http://schemas.openxmlformats.org/spreadsheetml/2006/main" count="1943" uniqueCount="432">
  <si>
    <t xml:space="preserve">Activo</t>
  </si>
  <si>
    <t xml:space="preserve">Owner</t>
  </si>
  <si>
    <t xml:space="preserve">Vessel</t>
  </si>
  <si>
    <t xml:space="preserve">Date arrive CL</t>
  </si>
  <si>
    <t xml:space="preserve">ETA Vessel</t>
  </si>
  <si>
    <t xml:space="preserve">ETD Vessel</t>
  </si>
  <si>
    <t xml:space="preserve">Puerto a embarcar</t>
  </si>
  <si>
    <t xml:space="preserve">Condition</t>
  </si>
  <si>
    <t xml:space="preserve">OKTB</t>
  </si>
  <si>
    <t xml:space="preserve">Mail PDI</t>
  </si>
  <si>
    <t xml:space="preserve">First name</t>
  </si>
  <si>
    <t xml:space="preserve">Last name</t>
  </si>
  <si>
    <t xml:space="preserve">Gender</t>
  </si>
  <si>
    <t xml:space="preserve">Nacionalidad</t>
  </si>
  <si>
    <t xml:space="preserve">Position</t>
  </si>
  <si>
    <t xml:space="preserve">Pasaporte</t>
  </si>
  <si>
    <t xml:space="preserve">DOB</t>
  </si>
  <si>
    <t xml:space="preserve">Aerolinea 1</t>
  </si>
  <si>
    <t xml:space="preserve">Aerolinea 2</t>
  </si>
  <si>
    <t xml:space="preserve">Aerolinea 3</t>
  </si>
  <si>
    <t xml:space="preserve">Aerolinea 4</t>
  </si>
  <si>
    <t xml:space="preserve">Vuelo Int 1</t>
  </si>
  <si>
    <t xml:space="preserve">Fecha Vuelo Int 1</t>
  </si>
  <si>
    <t xml:space="preserve">Hora Vuelo Int 1</t>
  </si>
  <si>
    <t xml:space="preserve">Vuelo Int 2</t>
  </si>
  <si>
    <t xml:space="preserve">Fecha Vuelo Int 2</t>
  </si>
  <si>
    <t xml:space="preserve">Hora Vuelo Int 2</t>
  </si>
  <si>
    <t xml:space="preserve">Vuelo Int 3</t>
  </si>
  <si>
    <t xml:space="preserve">Fecha Vuelo Int 3</t>
  </si>
  <si>
    <t xml:space="preserve">Hora Vuelo Int 3</t>
  </si>
  <si>
    <t xml:space="preserve">Vuelo Int 4</t>
  </si>
  <si>
    <t xml:space="preserve">Fecha Vuelo Int 4</t>
  </si>
  <si>
    <t xml:space="preserve">Hora Vuelo Int 4</t>
  </si>
  <si>
    <t xml:space="preserve">Nro International Flight</t>
  </si>
  <si>
    <t xml:space="preserve">Date International Flight</t>
  </si>
  <si>
    <t xml:space="preserve">Hora International Flight</t>
  </si>
  <si>
    <t xml:space="preserve">Nro Domestic Flight</t>
  </si>
  <si>
    <t xml:space="preserve">Date Domestic Flight</t>
  </si>
  <si>
    <t xml:space="preserve">Hora Domestic Flight</t>
  </si>
  <si>
    <t xml:space="preserve">Nro Regional Flight</t>
  </si>
  <si>
    <t xml:space="preserve">Date Regional Flight</t>
  </si>
  <si>
    <t xml:space="preserve">Hora Regional Flight</t>
  </si>
  <si>
    <t xml:space="preserve">Proveedor SCL</t>
  </si>
  <si>
    <t xml:space="preserve">Asistencia 1</t>
  </si>
  <si>
    <t xml:space="preserve">Proveedor PUQ</t>
  </si>
  <si>
    <t xml:space="preserve">Asistencia 2</t>
  </si>
  <si>
    <t xml:space="preserve">Proveedor WPU</t>
  </si>
  <si>
    <t xml:space="preserve">Asistencia 3</t>
  </si>
  <si>
    <t xml:space="preserve">Category</t>
  </si>
  <si>
    <t xml:space="preserve">Hotel 1</t>
  </si>
  <si>
    <t xml:space="preserve">Check in 1</t>
  </si>
  <si>
    <t xml:space="preserve">Check out 1</t>
  </si>
  <si>
    <t xml:space="preserve">Rooms 1</t>
  </si>
  <si>
    <t xml:space="preserve">Nombre Hotel 1</t>
  </si>
  <si>
    <t xml:space="preserve">Hotel 2</t>
  </si>
  <si>
    <t xml:space="preserve">Check in 2</t>
  </si>
  <si>
    <t xml:space="preserve">Check out 2</t>
  </si>
  <si>
    <t xml:space="preserve">Rooms 2</t>
  </si>
  <si>
    <t xml:space="preserve">Nombre Hotel 2</t>
  </si>
  <si>
    <t xml:space="preserve">Hotel 3</t>
  </si>
  <si>
    <t xml:space="preserve">Check in 3</t>
  </si>
  <si>
    <t xml:space="preserve">Check out 3</t>
  </si>
  <si>
    <t xml:space="preserve">Rooms 3</t>
  </si>
  <si>
    <t xml:space="preserve">Nombre Hotel 3</t>
  </si>
  <si>
    <t xml:space="preserve">City_in_1</t>
  </si>
  <si>
    <t xml:space="preserve">Place_in_1</t>
  </si>
  <si>
    <t xml:space="preserve">City_end_1</t>
  </si>
  <si>
    <t xml:space="preserve">Place_end_1</t>
  </si>
  <si>
    <t xml:space="preserve">Date_pickup_1</t>
  </si>
  <si>
    <t xml:space="preserve">Hours_pickup_1</t>
  </si>
  <si>
    <t xml:space="preserve">City_in_2</t>
  </si>
  <si>
    <t xml:space="preserve">Place_in_2</t>
  </si>
  <si>
    <t xml:space="preserve">City_end_2</t>
  </si>
  <si>
    <t xml:space="preserve">Place_end_2</t>
  </si>
  <si>
    <t xml:space="preserve">Date_pickup_2</t>
  </si>
  <si>
    <t xml:space="preserve">Hours_pickup_2</t>
  </si>
  <si>
    <t xml:space="preserve">City_in_3</t>
  </si>
  <si>
    <t xml:space="preserve">Place_in_3</t>
  </si>
  <si>
    <t xml:space="preserve">City_end_3</t>
  </si>
  <si>
    <t xml:space="preserve">Place_end_3</t>
  </si>
  <si>
    <t xml:space="preserve">Date_pickup_3</t>
  </si>
  <si>
    <t xml:space="preserve">Hours_pickup_3</t>
  </si>
  <si>
    <t xml:space="preserve">City_in_4</t>
  </si>
  <si>
    <t xml:space="preserve">Place_in_4</t>
  </si>
  <si>
    <t xml:space="preserve">City_end_4</t>
  </si>
  <si>
    <t xml:space="preserve">Place_end_4</t>
  </si>
  <si>
    <t xml:space="preserve">Date_pickup_4</t>
  </si>
  <si>
    <t xml:space="preserve">Hours_pickup_4</t>
  </si>
  <si>
    <t xml:space="preserve">Prefer. Aliment</t>
  </si>
  <si>
    <t xml:space="preserve">Servicio Comida 1</t>
  </si>
  <si>
    <t xml:space="preserve">Fecha Desde 1</t>
  </si>
  <si>
    <t xml:space="preserve">Fecha Hasta 1</t>
  </si>
  <si>
    <t xml:space="preserve">Restaurant 1</t>
  </si>
  <si>
    <t xml:space="preserve">Servicio Comida 2</t>
  </si>
  <si>
    <t xml:space="preserve">Fecha Desde 2</t>
  </si>
  <si>
    <t xml:space="preserve">Fecha Hasta 2</t>
  </si>
  <si>
    <t xml:space="preserve">Restaurant 2</t>
  </si>
  <si>
    <t xml:space="preserve">Servicio Comida 3</t>
  </si>
  <si>
    <t xml:space="preserve">Fecha Desde 3</t>
  </si>
  <si>
    <t xml:space="preserve">Fecha Hasta 3</t>
  </si>
  <si>
    <t xml:space="preserve">Restaurant 3</t>
  </si>
  <si>
    <t xml:space="preserve">Maleta perdida</t>
  </si>
  <si>
    <t xml:space="preserve">Transporte</t>
  </si>
  <si>
    <t xml:space="preserve">Atencion Medica</t>
  </si>
  <si>
    <t xml:space="preserve">Fecha</t>
  </si>
  <si>
    <t xml:space="preserve">Ciudad</t>
  </si>
  <si>
    <t xml:space="preserve">Comentarios</t>
  </si>
  <si>
    <t xml:space="preserve">SI | NO</t>
  </si>
  <si>
    <t xml:space="preserve">Silversea</t>
  </si>
  <si>
    <t xml:space="preserve">Silver Wind </t>
  </si>
  <si>
    <t xml:space="preserve">01/01/01</t>
  </si>
  <si>
    <t xml:space="preserve">PUERTO WILLIAMS</t>
  </si>
  <si>
    <t xml:space="preserve">CREW | PASSENGER</t>
  </si>
  <si>
    <t xml:space="preserve">OK</t>
  </si>
  <si>
    <t xml:space="preserve">Nombre</t>
  </si>
  <si>
    <t xml:space="preserve">Apellido</t>
  </si>
  <si>
    <t xml:space="preserve">F | M</t>
  </si>
  <si>
    <t xml:space="preserve">Chile</t>
  </si>
  <si>
    <t xml:space="preserve">Fitter</t>
  </si>
  <si>
    <t xml:space="preserve">P3767337B</t>
  </si>
  <si>
    <t xml:space="preserve">Latam Airlines</t>
  </si>
  <si>
    <t xml:space="preserve">CODIGO SALIDA LLEGADA | NO</t>
  </si>
  <si>
    <t xml:space="preserve">00:00 01:01+1</t>
  </si>
  <si>
    <t xml:space="preserve">Freebags</t>
  </si>
  <si>
    <t xml:space="preserve">Asistencia SCL</t>
  </si>
  <si>
    <t xml:space="preserve">Shackletons</t>
  </si>
  <si>
    <t xml:space="preserve">Asistencia PUQ</t>
  </si>
  <si>
    <t xml:space="preserve">Explora</t>
  </si>
  <si>
    <t xml:space="preserve">Asistencia WPU</t>
  </si>
  <si>
    <t xml:space="preserve">1 (Obligatoria)</t>
  </si>
  <si>
    <t xml:space="preserve">Hotel PUQ | NO</t>
  </si>
  <si>
    <t xml:space="preserve">SINGLE | DOBLE</t>
  </si>
  <si>
    <t xml:space="preserve">Kran Kreen | TBC</t>
  </si>
  <si>
    <t xml:space="preserve">PUQ | NO</t>
  </si>
  <si>
    <t xml:space="preserve">ATO | HOTEL | NAVE</t>
  </si>
  <si>
    <t xml:space="preserve">PUQ</t>
  </si>
  <si>
    <t xml:space="preserve">VEGETARIANO | VEGANO | CARNIVORO | OTRO</t>
  </si>
  <si>
    <t xml:space="preserve">DESAYUNO | ALMUERZO | ONCE | CENA</t>
  </si>
  <si>
    <t xml:space="preserve">SABORES</t>
  </si>
  <si>
    <t xml:space="preserve">EJEMPLO</t>
  </si>
  <si>
    <t xml:space="preserve">SI</t>
  </si>
  <si>
    <t xml:space="preserve">CREW</t>
  </si>
  <si>
    <t xml:space="preserve"> FERDINAND</t>
  </si>
  <si>
    <t xml:space="preserve">PANTINO</t>
  </si>
  <si>
    <t xml:space="preserve">M</t>
  </si>
  <si>
    <t xml:space="preserve">Philippines</t>
  </si>
  <si>
    <t xml:space="preserve">Turkish Airlines</t>
  </si>
  <si>
    <t xml:space="preserve">TK85  MNL IST</t>
  </si>
  <si>
    <t xml:space="preserve"> 21:35 05:45</t>
  </si>
  <si>
    <t xml:space="preserve"> TK801  IST PTY</t>
  </si>
  <si>
    <t xml:space="preserve"> 09:10 18:20</t>
  </si>
  <si>
    <t xml:space="preserve"> TK9608  PTY SCL</t>
  </si>
  <si>
    <t xml:space="preserve"> 21:28 06:00</t>
  </si>
  <si>
    <t xml:space="preserve">NO  </t>
  </si>
  <si>
    <t xml:space="preserve"> LA313  SCL PUQ</t>
  </si>
  <si>
    <t xml:space="preserve"> 12:53 17:41</t>
  </si>
  <si>
    <t xml:space="preserve">DAP PUQ WPU</t>
  </si>
  <si>
    <t xml:space="preserve"> 05JAN</t>
  </si>
  <si>
    <t xml:space="preserve">Hotel PUQ</t>
  </si>
  <si>
    <t xml:space="preserve">DOBLE</t>
  </si>
  <si>
    <t xml:space="preserve">Kran Kreen</t>
  </si>
  <si>
    <t xml:space="preserve">NO</t>
  </si>
  <si>
    <t xml:space="preserve">ATO</t>
  </si>
  <si>
    <t xml:space="preserve">HOTEL</t>
  </si>
  <si>
    <t xml:space="preserve">NAVE</t>
  </si>
  <si>
    <t xml:space="preserve"> CHE YU</t>
  </si>
  <si>
    <t xml:space="preserve">WU</t>
  </si>
  <si>
    <t xml:space="preserve">Taiwan</t>
  </si>
  <si>
    <t xml:space="preserve">Expedition Field Staff</t>
  </si>
  <si>
    <t xml:space="preserve">360282739</t>
  </si>
  <si>
    <t xml:space="preserve">TK125  TPE IST</t>
  </si>
  <si>
    <t xml:space="preserve"> 10:35 18:20</t>
  </si>
  <si>
    <t xml:space="preserve"> TK215  IST SCL</t>
  </si>
  <si>
    <t xml:space="preserve"> 02JAN</t>
  </si>
  <si>
    <t xml:space="preserve"> 20:35 09:45</t>
  </si>
  <si>
    <t xml:space="preserve"> LA293  SCL PUQ</t>
  </si>
  <si>
    <t xml:space="preserve"> 16:43 20:07</t>
  </si>
  <si>
    <t xml:space="preserve"> KARLA JAY</t>
  </si>
  <si>
    <t xml:space="preserve">POUND</t>
  </si>
  <si>
    <t xml:space="preserve">Australia</t>
  </si>
  <si>
    <t xml:space="preserve">PA2656115</t>
  </si>
  <si>
    <t xml:space="preserve">Qantas </t>
  </si>
  <si>
    <t xml:space="preserve">QF5027  MEL SCL</t>
  </si>
  <si>
    <t xml:space="preserve"> 12:30 11:20</t>
  </si>
  <si>
    <t xml:space="preserve"> LA299  SCL PUQ</t>
  </si>
  <si>
    <t xml:space="preserve"> 16:16 19:40</t>
  </si>
  <si>
    <t xml:space="preserve">SINGLE</t>
  </si>
  <si>
    <t xml:space="preserve"> BEN</t>
  </si>
  <si>
    <t xml:space="preserve">LUCKX</t>
  </si>
  <si>
    <t xml:space="preserve">Belgium</t>
  </si>
  <si>
    <t xml:space="preserve">Assistant Expedition Leader</t>
  </si>
  <si>
    <t xml:space="preserve">GA1226630</t>
  </si>
  <si>
    <t xml:space="preserve">LA7093  BRU MAD</t>
  </si>
  <si>
    <t xml:space="preserve"> 19:45 22:10</t>
  </si>
  <si>
    <t xml:space="preserve"> LA5404  MAD SCL</t>
  </si>
  <si>
    <t xml:space="preserve"> 23:59 09:20+1</t>
  </si>
  <si>
    <t xml:space="preserve"> 16:24 19:48</t>
  </si>
  <si>
    <t xml:space="preserve"> HANG</t>
  </si>
  <si>
    <t xml:space="preserve">LI</t>
  </si>
  <si>
    <t xml:space="preserve">China</t>
  </si>
  <si>
    <t xml:space="preserve">Waiter</t>
  </si>
  <si>
    <t xml:space="preserve">EJ0088558</t>
  </si>
  <si>
    <t xml:space="preserve">China Southern Airlines</t>
  </si>
  <si>
    <t xml:space="preserve">Royal Dutch Airlines</t>
  </si>
  <si>
    <t xml:space="preserve">CZ3597  CGO PVG</t>
  </si>
  <si>
    <t xml:space="preserve"> 18:55 21:00</t>
  </si>
  <si>
    <t xml:space="preserve"> KL896  PVG AMS</t>
  </si>
  <si>
    <t xml:space="preserve"> 11:25 18:40</t>
  </si>
  <si>
    <t xml:space="preserve"> KL701  AMS SCL</t>
  </si>
  <si>
    <t xml:space="preserve"> 21:20 10:50</t>
  </si>
  <si>
    <t xml:space="preserve"> ANTONELLO</t>
  </si>
  <si>
    <t xml:space="preserve">LOI</t>
  </si>
  <si>
    <t xml:space="preserve">Italy</t>
  </si>
  <si>
    <t xml:space="preserve">Chief Engineer</t>
  </si>
  <si>
    <t xml:space="preserve">YB4773064</t>
  </si>
  <si>
    <t xml:space="preserve">KL701  AMS SCL</t>
  </si>
  <si>
    <t xml:space="preserve">CABO DE HORNOS</t>
  </si>
  <si>
    <t xml:space="preserve"> JONATHAN LOUIS</t>
  </si>
  <si>
    <t xml:space="preserve">FRENCH</t>
  </si>
  <si>
    <t xml:space="preserve">British</t>
  </si>
  <si>
    <t xml:space="preserve">552104715</t>
  </si>
  <si>
    <t xml:space="preserve">Airfrance </t>
  </si>
  <si>
    <t xml:space="preserve">AF1281  LHR CDG</t>
  </si>
  <si>
    <t xml:space="preserve"> 17:35 19:55</t>
  </si>
  <si>
    <t xml:space="preserve"> AF406  CDG SCL</t>
  </si>
  <si>
    <t xml:space="preserve"> 23:20 09:50</t>
  </si>
  <si>
    <t xml:space="preserve"> H27  SCL PUQ</t>
  </si>
  <si>
    <t xml:space="preserve"> 14:36 18:04</t>
  </si>
  <si>
    <t xml:space="preserve">Silver Endeavour </t>
  </si>
  <si>
    <t xml:space="preserve">KING GEORGE ISLAND</t>
  </si>
  <si>
    <t xml:space="preserve">ADIL</t>
  </si>
  <si>
    <t xml:space="preserve">OSKAKOV</t>
  </si>
  <si>
    <t xml:space="preserve">KAZAKHSTAN</t>
  </si>
  <si>
    <t xml:space="preserve">Receptionist</t>
  </si>
  <si>
    <t xml:space="preserve">N11033158</t>
  </si>
  <si>
    <t xml:space="preserve">TK353 ALA IST</t>
  </si>
  <si>
    <t xml:space="preserve">09:55 14:40</t>
  </si>
  <si>
    <t xml:space="preserve">TK215 IST SCL</t>
  </si>
  <si>
    <t xml:space="preserve">20:35 09:45+1</t>
  </si>
  <si>
    <t xml:space="preserve">LA93 SCL PUQ</t>
  </si>
  <si>
    <t xml:space="preserve">15:41 19:05</t>
  </si>
  <si>
    <t xml:space="preserve">SHUN-TIEN</t>
  </si>
  <si>
    <t xml:space="preserve">HSU</t>
  </si>
  <si>
    <t xml:space="preserve">367038594</t>
  </si>
  <si>
    <t xml:space="preserve">FERRY USH WPU</t>
  </si>
  <si>
    <t xml:space="preserve">8:30 10:00</t>
  </si>
  <si>
    <t xml:space="preserve">Hotel WPU</t>
  </si>
  <si>
    <t xml:space="preserve">FORJADORES</t>
  </si>
  <si>
    <t xml:space="preserve">WPU</t>
  </si>
  <si>
    <t xml:space="preserve">Silver Cloud</t>
  </si>
  <si>
    <t xml:space="preserve"> ROBERT VINCE ALMANZOR</t>
  </si>
  <si>
    <t xml:space="preserve">ATACADOR</t>
  </si>
  <si>
    <t xml:space="preserve">Ordinary Seaman</t>
  </si>
  <si>
    <t xml:space="preserve">P3269789B</t>
  </si>
  <si>
    <t xml:space="preserve">Qatar airlines</t>
  </si>
  <si>
    <t xml:space="preserve">latam Airlines</t>
  </si>
  <si>
    <t xml:space="preserve">QR927  CRK DOH</t>
  </si>
  <si>
    <t xml:space="preserve">17:55 22:45</t>
  </si>
  <si>
    <t xml:space="preserve">QR779 DOH GRU</t>
  </si>
  <si>
    <t xml:space="preserve">01:05 10:25</t>
  </si>
  <si>
    <t xml:space="preserve">LA8036 GRU SCL</t>
  </si>
  <si>
    <t xml:space="preserve">13:20 17:35</t>
  </si>
  <si>
    <t xml:space="preserve">LA293 SCL PUQ</t>
  </si>
  <si>
    <t xml:space="preserve">23:50 03:14+1</t>
  </si>
  <si>
    <t xml:space="preserve"> FERNANDO</t>
  </si>
  <si>
    <t xml:space="preserve">CASTRO</t>
  </si>
  <si>
    <t xml:space="preserve">Pastry Chef</t>
  </si>
  <si>
    <t xml:space="preserve">P8508680B</t>
  </si>
  <si>
    <t xml:space="preserve">Qantas Airways</t>
  </si>
  <si>
    <t xml:space="preserve">ATO  </t>
  </si>
  <si>
    <t xml:space="preserve"> CHRISTOPHER JOHN</t>
  </si>
  <si>
    <t xml:space="preserve">CLAVERIA</t>
  </si>
  <si>
    <t xml:space="preserve">Housekeeping Utility</t>
  </si>
  <si>
    <t xml:space="preserve">P1623091B</t>
  </si>
  <si>
    <t xml:space="preserve">QF20 MNL SYD</t>
  </si>
  <si>
    <t xml:space="preserve">19:20 06:30+1</t>
  </si>
  <si>
    <t xml:space="preserve">QF3 SYD AKL</t>
  </si>
  <si>
    <t xml:space="preserve">09:45 14:55</t>
  </si>
  <si>
    <t xml:space="preserve">QF3877 AKL SCL</t>
  </si>
  <si>
    <t xml:space="preserve">19:05 14:10</t>
  </si>
  <si>
    <t xml:space="preserve">LA89 SCL PUQ</t>
  </si>
  <si>
    <t xml:space="preserve">19:43 23:07</t>
  </si>
  <si>
    <t xml:space="preserve"> NILO</t>
  </si>
  <si>
    <t xml:space="preserve">DE LEON</t>
  </si>
  <si>
    <t xml:space="preserve">Sous Chef</t>
  </si>
  <si>
    <t xml:space="preserve">P7200196B</t>
  </si>
  <si>
    <t xml:space="preserve"> RAYMOND</t>
  </si>
  <si>
    <t xml:space="preserve">DOMINGO</t>
  </si>
  <si>
    <t xml:space="preserve">Service Assistant</t>
  </si>
  <si>
    <t xml:space="preserve">P0793708B</t>
  </si>
  <si>
    <t xml:space="preserve">Art Nouveau</t>
  </si>
  <si>
    <t xml:space="preserve"> ALMAR JAN</t>
  </si>
  <si>
    <t xml:space="preserve">ESPIRITU</t>
  </si>
  <si>
    <t xml:space="preserve">P7054095A</t>
  </si>
  <si>
    <t xml:space="preserve"> NELSON</t>
  </si>
  <si>
    <t xml:space="preserve">LATAYAN</t>
  </si>
  <si>
    <t xml:space="preserve">Butler</t>
  </si>
  <si>
    <t xml:space="preserve">P6989621B</t>
  </si>
  <si>
    <t xml:space="preserve"> EDIPOS ARPON</t>
  </si>
  <si>
    <t xml:space="preserve">SERDONCILLO</t>
  </si>
  <si>
    <t xml:space="preserve">Able Seaman</t>
  </si>
  <si>
    <t xml:space="preserve">P7251719B</t>
  </si>
  <si>
    <t xml:space="preserve"> TYRONE BRENT</t>
  </si>
  <si>
    <t xml:space="preserve">MCKENDRY</t>
  </si>
  <si>
    <t xml:space="preserve">South Africa</t>
  </si>
  <si>
    <t xml:space="preserve">LT4534569</t>
  </si>
  <si>
    <t xml:space="preserve">LA8059 JNB GRU </t>
  </si>
  <si>
    <t xml:space="preserve">15:20 20:05</t>
  </si>
  <si>
    <t xml:space="preserve">LA8030 GRU SCL</t>
  </si>
  <si>
    <t xml:space="preserve">01:00 05:25</t>
  </si>
  <si>
    <t xml:space="preserve">LA311 SCL PUQ</t>
  </si>
  <si>
    <t xml:space="preserve">13:11 17:52</t>
  </si>
  <si>
    <t xml:space="preserve">Vessel </t>
  </si>
  <si>
    <t xml:space="preserve">Date First Flight</t>
  </si>
  <si>
    <t xml:space="preserve">Puerto a desembarcar</t>
  </si>
  <si>
    <t xml:space="preserve">Carta Desembarco</t>
  </si>
  <si>
    <t xml:space="preserve">Nacionalidad </t>
  </si>
  <si>
    <t xml:space="preserve">F/M</t>
  </si>
  <si>
    <t xml:space="preserve">Puerto Williams</t>
  </si>
  <si>
    <t xml:space="preserve"> RUPERT HARALD</t>
  </si>
  <si>
    <t xml:space="preserve">KRAPP</t>
  </si>
  <si>
    <t xml:space="preserve">Germany</t>
  </si>
  <si>
    <t xml:space="preserve">C4VV50K26</t>
  </si>
  <si>
    <t xml:space="preserve">DAP WPU PUQ</t>
  </si>
  <si>
    <t xml:space="preserve">18:45 19:30</t>
  </si>
  <si>
    <t xml:space="preserve">LA96 PUQ SCL</t>
  </si>
  <si>
    <t xml:space="preserve">AF401 SCL CDG</t>
  </si>
  <si>
    <t xml:space="preserve">EXPLORA</t>
  </si>
  <si>
    <t xml:space="preserve"> MARCO</t>
  </si>
  <si>
    <t xml:space="preserve">DI MARCO</t>
  </si>
  <si>
    <t xml:space="preserve">YB0446237</t>
  </si>
  <si>
    <t xml:space="preserve">LA5410 SCL MAD</t>
  </si>
  <si>
    <t xml:space="preserve"> ALAN</t>
  </si>
  <si>
    <t xml:space="preserve">DOMINGUEZ TORRES</t>
  </si>
  <si>
    <t xml:space="preserve">Mexico</t>
  </si>
  <si>
    <t xml:space="preserve">N11095568</t>
  </si>
  <si>
    <t xml:space="preserve">LA88 PUQ SCL</t>
  </si>
  <si>
    <t xml:space="preserve">LA2370 SCL LIM</t>
  </si>
  <si>
    <t xml:space="preserve"> MIHNEA-CRISTIAN</t>
  </si>
  <si>
    <t xml:space="preserve">SURDU</t>
  </si>
  <si>
    <t xml:space="preserve">Romania</t>
  </si>
  <si>
    <t xml:space="preserve">1st Hotel Engineer</t>
  </si>
  <si>
    <t xml:space="preserve">062550522</t>
  </si>
  <si>
    <t xml:space="preserve">LA762 SCL GRU</t>
  </si>
  <si>
    <t xml:space="preserve">I WAYAN AGUS ADI</t>
  </si>
  <si>
    <t xml:space="preserve">MAHENDRAYANA</t>
  </si>
  <si>
    <t xml:space="preserve">Indonesian</t>
  </si>
  <si>
    <t xml:space="preserve">Assistant cook</t>
  </si>
  <si>
    <t xml:space="preserve">C9378353</t>
  </si>
  <si>
    <t xml:space="preserve">DAP WPU SCL</t>
  </si>
  <si>
    <t xml:space="preserve">KL702 SCL AMS</t>
  </si>
  <si>
    <t xml:space="preserve">Hotel SCL</t>
  </si>
  <si>
    <t xml:space="preserve">Marriott</t>
  </si>
  <si>
    <t xml:space="preserve"> NOORA AMANDA</t>
  </si>
  <si>
    <t xml:space="preserve">PETERI</t>
  </si>
  <si>
    <t xml:space="preserve">Finland</t>
  </si>
  <si>
    <t xml:space="preserve">Lead Kayak Guide</t>
  </si>
  <si>
    <t xml:space="preserve">FP4658564</t>
  </si>
  <si>
    <t xml:space="preserve">LA94 PUQ SCL</t>
  </si>
  <si>
    <t xml:space="preserve">AY5388 SCL MAD</t>
  </si>
  <si>
    <t xml:space="preserve">Kran kreen</t>
  </si>
  <si>
    <t xml:space="preserve">PUQ  </t>
  </si>
  <si>
    <t xml:space="preserve">PUQ </t>
  </si>
  <si>
    <t xml:space="preserve">ISLA REY JORGE</t>
  </si>
  <si>
    <t xml:space="preserve">JOSEPH  </t>
  </si>
  <si>
    <t xml:space="preserve">DUBE</t>
  </si>
  <si>
    <t xml:space="preserve">Zimbawe</t>
  </si>
  <si>
    <t xml:space="preserve">AE281663</t>
  </si>
  <si>
    <t xml:space="preserve">DAP KGI PUQ</t>
  </si>
  <si>
    <t xml:space="preserve">LA082 PUQ SCL</t>
  </si>
  <si>
    <t xml:space="preserve">LA752 SCL GRU</t>
  </si>
  <si>
    <t xml:space="preserve">12:25 16:30</t>
  </si>
  <si>
    <t xml:space="preserve">KOOSHIMA</t>
  </si>
  <si>
    <t xml:space="preserve">BIDDA</t>
  </si>
  <si>
    <t xml:space="preserve">Mauritius</t>
  </si>
  <si>
    <t xml:space="preserve">1968736</t>
  </si>
  <si>
    <t xml:space="preserve">LA084 PUQ SCL</t>
  </si>
  <si>
    <t xml:space="preserve">TK216 SCL IST</t>
  </si>
  <si>
    <t xml:space="preserve">11:40 11:20+1</t>
  </si>
  <si>
    <t xml:space="preserve">CARPA MANZANO</t>
  </si>
  <si>
    <t xml:space="preserve"> PRIYESH PANDURANG</t>
  </si>
  <si>
    <t xml:space="preserve">BAMBULKAR</t>
  </si>
  <si>
    <t xml:space="preserve">India</t>
  </si>
  <si>
    <t xml:space="preserve">Deck</t>
  </si>
  <si>
    <t xml:space="preserve">T4656168</t>
  </si>
  <si>
    <t xml:space="preserve">04:44 08:11</t>
  </si>
  <si>
    <t xml:space="preserve"> DONALD SCOTT ALLEN</t>
  </si>
  <si>
    <t xml:space="preserve">ROSBOROUGH</t>
  </si>
  <si>
    <t xml:space="preserve">Canada</t>
  </si>
  <si>
    <t xml:space="preserve">Expedition Staff</t>
  </si>
  <si>
    <t xml:space="preserve">AB901948</t>
  </si>
  <si>
    <t xml:space="preserve">DL296 SCL ATL</t>
  </si>
  <si>
    <t xml:space="preserve"> SACHIN PRADEEP</t>
  </si>
  <si>
    <t xml:space="preserve">SINGH</t>
  </si>
  <si>
    <t xml:space="preserve">Housekeeping</t>
  </si>
  <si>
    <t xml:space="preserve">Z4948800</t>
  </si>
  <si>
    <t xml:space="preserve">LA310 PUQ SCL</t>
  </si>
  <si>
    <t xml:space="preserve">13:52 18:35</t>
  </si>
  <si>
    <t xml:space="preserve">LA532 SCL JFK</t>
  </si>
  <si>
    <t xml:space="preserve"> I WAYAN PAUL</t>
  </si>
  <si>
    <t xml:space="preserve">ARIANA</t>
  </si>
  <si>
    <t xml:space="preserve">Indonesia</t>
  </si>
  <si>
    <t xml:space="preserve">Dining Room</t>
  </si>
  <si>
    <t xml:space="preserve">E1821889</t>
  </si>
  <si>
    <t xml:space="preserve">LA754 SCL GRU</t>
  </si>
  <si>
    <t xml:space="preserve"> I GUSTI PUTU SURYA</t>
  </si>
  <si>
    <t xml:space="preserve">GUNAWAN </t>
  </si>
  <si>
    <t xml:space="preserve">E4727107</t>
  </si>
  <si>
    <t xml:space="preserve"> MUHAMMAD</t>
  </si>
  <si>
    <t xml:space="preserve">HAFID </t>
  </si>
  <si>
    <t xml:space="preserve">E4962826</t>
  </si>
  <si>
    <t xml:space="preserve"> FLORENTINO JR. MORANTE</t>
  </si>
  <si>
    <t xml:space="preserve">BAUTISTA</t>
  </si>
  <si>
    <t xml:space="preserve">P8317343B</t>
  </si>
  <si>
    <t xml:space="preserve">11:40 15:09</t>
  </si>
  <si>
    <t xml:space="preserve">LA8037 SCL GRU</t>
  </si>
  <si>
    <t xml:space="preserve"> CARRY ISIDRO</t>
  </si>
  <si>
    <t xml:space="preserve">EUGENIO</t>
  </si>
  <si>
    <t xml:space="preserve">P1909241B</t>
  </si>
  <si>
    <t xml:space="preserve"> ALLANDINO</t>
  </si>
  <si>
    <t xml:space="preserve">MACAPAYAD</t>
  </si>
  <si>
    <t xml:space="preserve">P8928140A</t>
  </si>
  <si>
    <t xml:space="preserve">LA8097 SCL GRU</t>
  </si>
  <si>
    <t xml:space="preserve"> ZENON STANISLAW</t>
  </si>
  <si>
    <t xml:space="preserve">ZARWALSKI</t>
  </si>
  <si>
    <t xml:space="preserve">Poland</t>
  </si>
  <si>
    <t xml:space="preserve">Engine</t>
  </si>
  <si>
    <t xml:space="preserve">EN9786993</t>
  </si>
  <si>
    <t xml:space="preserve">LA290 PUQ SCL</t>
  </si>
  <si>
    <t xml:space="preserve">23:25 02:52+1</t>
  </si>
  <si>
    <t xml:space="preserve">Los Navegantes</t>
  </si>
  <si>
    <t xml:space="preserve">Holiday Inn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</si>
</sst>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"/>
    <numFmt numFmtId="166" formatCode="#,##0"/>
    <numFmt numFmtId="167" formatCode="dd/mm/yy;@"/>
    <numFmt numFmtId="168" formatCode="h:mm"/>
    <numFmt numFmtId="169" formatCode="hh:mm:ss;@"/>
    <numFmt numFmtId="170" formatCode="hh:mm:ss"/>
    <numFmt numFmtId="171" formatCode="dd\/mm\/yy"/>
    <numFmt numFmtId="172" formatCode="hh:mm"/>
    <numFmt numFmtId="173" formatCode="General"/>
    <numFmt numFmtId="174" formatCode="dd/mm/yyyy"/>
    <numFmt numFmtId="175" formatCode="#,##0.00"/>
    <numFmt numFmtId="176" formatCode="[$-F400]hh:mm\ AM/PM"/>
    <numFmt numFmtId="177" formatCode="[$-F400]h:mm:ss\ AM/PM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Calibri"/>
      <family val="2"/>
      <charset val="1"/>
    </font>
    <font>
      <b val="true"/>
      <sz val="8"/>
      <color rgb="FF000000"/>
      <name val="Aptos Narrow"/>
      <family val="2"/>
      <charset val="1"/>
    </font>
    <font>
      <sz val="8"/>
      <name val="Calibri"/>
      <family val="2"/>
      <charset val="1"/>
    </font>
    <font>
      <sz val="8"/>
      <name val="Aptos Narrow"/>
      <family val="2"/>
      <charset val="1"/>
    </font>
    <font>
      <sz val="8"/>
      <color rgb="FF000000"/>
      <name val="Aptos Narrow"/>
      <family val="2"/>
      <charset val="1"/>
    </font>
    <font>
      <sz val="8"/>
      <color rgb="FF0070C0"/>
      <name val="Aptos Narrow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00CC00"/>
        <bgColor rgb="FF009900"/>
      </patternFill>
    </fill>
    <fill>
      <patternFill patternType="solid">
        <fgColor rgb="FFFF0000"/>
        <bgColor rgb="FF993300"/>
      </patternFill>
    </fill>
    <fill>
      <patternFill patternType="solid">
        <fgColor rgb="FF2C7FCE"/>
        <bgColor rgb="FF0070C0"/>
      </patternFill>
    </fill>
    <fill>
      <patternFill patternType="solid">
        <fgColor rgb="FFFFFF00"/>
        <bgColor rgb="FFFFFF00"/>
      </patternFill>
    </fill>
    <fill>
      <patternFill patternType="solid">
        <fgColor rgb="FFF1A983"/>
        <bgColor rgb="FFF4C3BE"/>
      </patternFill>
    </fill>
    <fill>
      <patternFill patternType="solid">
        <fgColor rgb="FFD9F2D0"/>
        <bgColor rgb="FFCCFFFF"/>
      </patternFill>
    </fill>
    <fill>
      <patternFill patternType="solid">
        <fgColor rgb="FFF4C3BE"/>
        <bgColor rgb="FFC6C6C6"/>
      </patternFill>
    </fill>
    <fill>
      <patternFill patternType="solid">
        <fgColor rgb="FF009900"/>
        <bgColor rgb="FF00CC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71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7" fillId="8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7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7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5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00CC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  <bgColor rgb="FF404040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2C7FCE"/>
        </patternFill>
      </fill>
    </dxf>
    <dxf>
      <fill>
        <patternFill patternType="solid">
          <fgColor rgb="FFD9F2D0"/>
        </patternFill>
      </fill>
    </dxf>
    <dxf>
      <fill>
        <patternFill patternType="solid">
          <fgColor rgb="FF0070C0"/>
        </patternFill>
      </fill>
    </dxf>
    <dxf>
      <fill>
        <patternFill patternType="solid">
          <fgColor rgb="FFF4C3BE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1A983"/>
        </patternFill>
      </fill>
    </dxf>
    <dxf>
      <font>
        <name val="Calibri"/>
        <charset val="1"/>
        <family val="0"/>
        <b val="1"/>
        <i val="0"/>
        <color rgb="FF000000"/>
        <sz val="11"/>
      </font>
      <fill>
        <patternFill>
          <bgColor rgb="FFFFFF00"/>
        </patternFill>
      </fill>
    </dxf>
    <dxf>
      <fill>
        <patternFill patternType="solid">
          <fgColor rgb="FF009900"/>
        </patternFill>
      </fill>
    </dxf>
  </dxfs>
  <colors>
    <indexedColors>
      <rgbColor rgb="FF000000"/>
      <rgbColor rgb="FFFFFFFF"/>
      <rgbColor rgb="FFFF0000"/>
      <rgbColor rgb="FF00CC00"/>
      <rgbColor rgb="FF0000FF"/>
      <rgbColor rgb="FFFFFF00"/>
      <rgbColor rgb="FFFF00FF"/>
      <rgbColor rgb="FF00FFFF"/>
      <rgbColor rgb="FF800000"/>
      <rgbColor rgb="FF0099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1A983"/>
      <rgbColor rgb="FFCC99FF"/>
      <rgbColor rgb="FFF4C3BE"/>
      <rgbColor rgb="FF2C7FCE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C1048576"/>
  <sheetViews>
    <sheetView showFormulas="false" showGridLines="true" showRowColHeaders="true" showZeros="true" rightToLeft="false" tabSelected="true" showOutlineSymbols="true" defaultGridColor="true" view="normal" topLeftCell="AV1" colorId="64" zoomScale="90" zoomScaleNormal="90" zoomScalePageLayoutView="100" workbookViewId="0">
      <pane xSplit="0" ySplit="1" topLeftCell="A2" activePane="bottomLeft" state="frozen"/>
      <selection pane="topLeft" activeCell="AV1" activeCellId="0" sqref="AV1"/>
      <selection pane="bottomLeft" activeCell="AV21" activeCellId="0" sqref="AV21"/>
    </sheetView>
  </sheetViews>
  <sheetFormatPr defaultColWidth="8.4453125" defaultRowHeight="14.25" zeroHeight="false" outlineLevelRow="0" outlineLevelCol="0"/>
  <cols>
    <col collapsed="false" customWidth="false" hidden="false" outlineLevel="0" max="1" min="1" style="1" width="8.44"/>
    <col collapsed="false" customWidth="true" hidden="false" outlineLevel="0" max="2" min="2" style="1" width="12.44"/>
    <col collapsed="false" customWidth="true" hidden="false" outlineLevel="0" max="3" min="3" style="2" width="12.44"/>
    <col collapsed="false" customWidth="true" hidden="false" outlineLevel="0" max="6" min="4" style="3" width="12.44"/>
    <col collapsed="false" customWidth="true" hidden="false" outlineLevel="0" max="7" min="7" style="1" width="20.67"/>
    <col collapsed="false" customWidth="true" hidden="false" outlineLevel="0" max="8" min="8" style="1" width="16.66"/>
    <col collapsed="false" customWidth="true" hidden="false" outlineLevel="0" max="9" min="9" style="1" width="7.66"/>
    <col collapsed="false" customWidth="true" hidden="false" outlineLevel="0" max="10" min="10" style="1" width="7"/>
    <col collapsed="false" customWidth="true" hidden="false" outlineLevel="0" max="11" min="11" style="2" width="17.89"/>
    <col collapsed="false" customWidth="true" hidden="false" outlineLevel="0" max="12" min="12" style="2" width="14.11"/>
    <col collapsed="false" customWidth="true" hidden="false" outlineLevel="0" max="13" min="13" style="1" width="6.88"/>
    <col collapsed="false" customWidth="true" hidden="false" outlineLevel="0" max="14" min="14" style="2" width="9.87"/>
    <col collapsed="false" customWidth="true" hidden="false" outlineLevel="0" max="15" min="15" style="2" width="19.67"/>
    <col collapsed="false" customWidth="true" hidden="false" outlineLevel="0" max="16" min="16" style="4" width="11.89"/>
    <col collapsed="false" customWidth="true" hidden="false" outlineLevel="0" max="17" min="17" style="5" width="9"/>
    <col collapsed="false" customWidth="true" hidden="false" outlineLevel="0" max="18" min="18" style="2" width="13"/>
    <col collapsed="false" customWidth="true" hidden="false" outlineLevel="0" max="19" min="19" style="2" width="13.44"/>
    <col collapsed="false" customWidth="true" hidden="false" outlineLevel="0" max="20" min="20" style="2" width="11.55"/>
    <col collapsed="false" customWidth="true" hidden="false" outlineLevel="0" max="21" min="21" style="1" width="12.55"/>
    <col collapsed="false" customWidth="true" hidden="false" outlineLevel="0" max="22" min="22" style="2" width="23.33"/>
    <col collapsed="false" customWidth="true" hidden="false" outlineLevel="0" max="23" min="23" style="5" width="14.33"/>
    <col collapsed="false" customWidth="true" hidden="false" outlineLevel="0" max="24" min="24" style="1" width="11.89"/>
    <col collapsed="false" customWidth="true" hidden="false" outlineLevel="0" max="25" min="25" style="1" width="23.67"/>
    <col collapsed="false" customWidth="true" hidden="false" outlineLevel="0" max="26" min="26" style="5" width="13"/>
    <col collapsed="false" customWidth="true" hidden="false" outlineLevel="0" max="27" min="27" style="1" width="13.33"/>
    <col collapsed="false" customWidth="true" hidden="false" outlineLevel="0" max="28" min="28" style="1" width="22.11"/>
    <col collapsed="false" customWidth="true" hidden="false" outlineLevel="0" max="29" min="29" style="5" width="14.33"/>
    <col collapsed="false" customWidth="true" hidden="false" outlineLevel="0" max="30" min="30" style="1" width="13.33"/>
    <col collapsed="false" customWidth="true" hidden="false" outlineLevel="0" max="31" min="31" style="1" width="22.44"/>
    <col collapsed="false" customWidth="true" hidden="false" outlineLevel="0" max="32" min="32" style="5" width="14.33"/>
    <col collapsed="false" customWidth="true" hidden="false" outlineLevel="0" max="33" min="33" style="1" width="13.33"/>
    <col collapsed="false" customWidth="true" hidden="false" outlineLevel="0" max="34" min="34" style="2" width="23"/>
    <col collapsed="false" customWidth="true" hidden="false" outlineLevel="0" max="35" min="35" style="5" width="21.89"/>
    <col collapsed="false" customWidth="true" hidden="false" outlineLevel="0" max="36" min="36" style="6" width="18"/>
    <col collapsed="false" customWidth="true" hidden="false" outlineLevel="0" max="37" min="37" style="1" width="26.33"/>
    <col collapsed="false" customWidth="true" hidden="false" outlineLevel="0" max="38" min="38" style="5" width="17.11"/>
    <col collapsed="false" customWidth="true" hidden="false" outlineLevel="0" max="39" min="39" style="7" width="17.33"/>
    <col collapsed="false" customWidth="true" hidden="false" outlineLevel="0" max="40" min="40" style="1" width="23.55"/>
    <col collapsed="false" customWidth="true" hidden="false" outlineLevel="0" max="41" min="41" style="5" width="14.66"/>
    <col collapsed="false" customWidth="true" hidden="false" outlineLevel="0" max="42" min="42" style="8" width="21.33"/>
    <col collapsed="false" customWidth="true" hidden="false" outlineLevel="0" max="43" min="43" style="9" width="11.44"/>
    <col collapsed="false" customWidth="true" hidden="false" outlineLevel="0" max="44" min="44" style="1" width="13.44"/>
    <col collapsed="false" customWidth="true" hidden="false" outlineLevel="0" max="46" min="45" style="1" width="11.66"/>
    <col collapsed="false" customWidth="true" hidden="false" outlineLevel="0" max="48" min="47" style="1" width="12"/>
    <col collapsed="false" customWidth="true" hidden="false" outlineLevel="0" max="49" min="49" style="4" width="15.55"/>
    <col collapsed="false" customWidth="true" hidden="false" outlineLevel="0" max="50" min="50" style="1" width="13.11"/>
    <col collapsed="false" customWidth="true" hidden="false" outlineLevel="0" max="51" min="51" style="5" width="8.11"/>
    <col collapsed="false" customWidth="true" hidden="false" outlineLevel="0" max="52" min="52" style="5" width="9"/>
    <col collapsed="false" customWidth="true" hidden="false" outlineLevel="0" max="53" min="53" style="1" width="12.44"/>
    <col collapsed="false" customWidth="true" hidden="false" outlineLevel="0" max="54" min="54" style="1" width="12.33"/>
    <col collapsed="false" customWidth="true" hidden="false" outlineLevel="0" max="55" min="55" style="1" width="14.33"/>
    <col collapsed="false" customWidth="true" hidden="false" outlineLevel="0" max="56" min="56" style="3" width="8.11"/>
    <col collapsed="false" customWidth="true" hidden="false" outlineLevel="0" max="57" min="57" style="3" width="9.87"/>
    <col collapsed="false" customWidth="true" hidden="false" outlineLevel="0" max="58" min="58" style="1" width="12.44"/>
    <col collapsed="false" customWidth="true" hidden="false" outlineLevel="0" max="59" min="59" style="1" width="13.66"/>
    <col collapsed="false" customWidth="true" hidden="false" outlineLevel="0" max="60" min="60" style="1" width="12.89"/>
    <col collapsed="false" customWidth="true" hidden="false" outlineLevel="0" max="61" min="61" style="3" width="8.11"/>
    <col collapsed="false" customWidth="true" hidden="false" outlineLevel="0" max="62" min="62" style="3" width="9.87"/>
    <col collapsed="false" customWidth="true" hidden="false" outlineLevel="0" max="63" min="63" style="1" width="12.33"/>
    <col collapsed="false" customWidth="true" hidden="false" outlineLevel="0" max="64" min="64" style="1" width="14.33"/>
    <col collapsed="false" customWidth="true" hidden="false" outlineLevel="0" max="65" min="65" style="1" width="8.55"/>
    <col collapsed="false" customWidth="true" hidden="false" outlineLevel="0" max="66" min="66" style="1" width="15.66"/>
    <col collapsed="false" customWidth="true" hidden="false" outlineLevel="0" max="67" min="67" style="1" width="8.33"/>
    <col collapsed="false" customWidth="true" hidden="false" outlineLevel="0" max="68" min="68" style="1" width="15.66"/>
    <col collapsed="false" customWidth="true" hidden="false" outlineLevel="0" max="69" min="69" style="5" width="14.83"/>
    <col collapsed="false" customWidth="true" hidden="false" outlineLevel="0" max="70" min="70" style="5" width="16.89"/>
    <col collapsed="false" customWidth="true" hidden="false" outlineLevel="0" max="71" min="71" style="1" width="10.87"/>
    <col collapsed="false" customWidth="true" hidden="false" outlineLevel="0" max="72" min="72" style="1" width="15.89"/>
    <col collapsed="false" customWidth="true" hidden="false" outlineLevel="0" max="73" min="73" style="1" width="8.55"/>
    <col collapsed="false" customWidth="true" hidden="false" outlineLevel="0" max="74" min="74" style="10" width="16.66"/>
    <col collapsed="false" customWidth="true" hidden="false" outlineLevel="0" max="75" min="75" style="1" width="15.55"/>
    <col collapsed="false" customWidth="true" hidden="false" outlineLevel="0" max="76" min="76" style="10" width="14.44"/>
    <col collapsed="false" customWidth="true" hidden="false" outlineLevel="0" max="77" min="77" style="1" width="10.55"/>
    <col collapsed="false" customWidth="true" hidden="false" outlineLevel="0" max="78" min="78" style="10" width="15.66"/>
    <col collapsed="false" customWidth="true" hidden="false" outlineLevel="0" max="79" min="79" style="1" width="11"/>
    <col collapsed="false" customWidth="true" hidden="false" outlineLevel="0" max="80" min="80" style="1" width="16.44"/>
    <col collapsed="false" customWidth="true" hidden="false" outlineLevel="0" max="81" min="81" style="10" width="11"/>
    <col collapsed="false" customWidth="true" hidden="false" outlineLevel="0" max="82" min="82" style="10" width="14.44"/>
    <col collapsed="false" customWidth="true" hidden="false" outlineLevel="0" max="83" min="83" style="10" width="9.11"/>
    <col collapsed="false" customWidth="true" hidden="false" outlineLevel="0" max="84" min="84" style="10" width="15.33"/>
    <col collapsed="false" customWidth="true" hidden="false" outlineLevel="0" max="85" min="85" style="10" width="10.87"/>
    <col collapsed="false" customWidth="true" hidden="false" outlineLevel="0" max="86" min="86" style="10" width="16.33"/>
    <col collapsed="false" customWidth="true" hidden="false" outlineLevel="0" max="87" min="87" style="10" width="12.55"/>
    <col collapsed="false" customWidth="true" hidden="false" outlineLevel="0" max="88" min="88" style="10" width="13.44"/>
    <col collapsed="false" customWidth="true" hidden="false" outlineLevel="0" max="89" min="89" style="1" width="32"/>
    <col collapsed="false" customWidth="true" hidden="false" outlineLevel="0" max="90" min="90" style="1" width="28.45"/>
    <col collapsed="false" customWidth="true" hidden="false" outlineLevel="0" max="91" min="91" style="5" width="10.44"/>
    <col collapsed="false" customWidth="true" hidden="false" outlineLevel="0" max="92" min="92" style="5" width="14.44"/>
    <col collapsed="false" customWidth="true" hidden="false" outlineLevel="0" max="93" min="93" style="1" width="11.89"/>
    <col collapsed="false" customWidth="true" hidden="false" outlineLevel="0" max="94" min="94" style="1" width="27.89"/>
    <col collapsed="false" customWidth="true" hidden="false" outlineLevel="0" max="95" min="95" style="1" width="10.44"/>
    <col collapsed="false" customWidth="true" hidden="false" outlineLevel="0" max="96" min="96" style="1" width="12.44"/>
    <col collapsed="false" customWidth="true" hidden="false" outlineLevel="0" max="97" min="97" style="1" width="9.87"/>
    <col collapsed="false" customWidth="true" hidden="false" outlineLevel="0" max="98" min="98" style="1" width="28.45"/>
    <col collapsed="false" customWidth="true" hidden="false" outlineLevel="0" max="99" min="99" style="10" width="14.55"/>
    <col collapsed="false" customWidth="true" hidden="false" outlineLevel="0" max="100" min="100" style="1" width="12.89"/>
    <col collapsed="false" customWidth="true" hidden="false" outlineLevel="0" max="101" min="101" style="11" width="12.89"/>
    <col collapsed="false" customWidth="true" hidden="false" outlineLevel="0" max="102" min="102" style="11" width="10.87"/>
    <col collapsed="false" customWidth="true" hidden="false" outlineLevel="0" max="103" min="103" style="11" width="9.44"/>
    <col collapsed="false" customWidth="true" hidden="false" outlineLevel="0" max="104" min="104" style="11" width="12"/>
    <col collapsed="false" customWidth="false" hidden="false" outlineLevel="0" max="106" min="105" style="11" width="8.44"/>
    <col collapsed="false" customWidth="true" hidden="false" outlineLevel="0" max="107" min="107" style="11" width="19.11"/>
    <col collapsed="false" customWidth="false" hidden="false" outlineLevel="0" max="1024" min="108" style="11" width="8.44"/>
  </cols>
  <sheetData>
    <row r="1" customFormat="false" ht="14.25" hidden="false" customHeight="false" outlineLevel="0" collapsed="false">
      <c r="A1" s="12" t="s">
        <v>0</v>
      </c>
      <c r="B1" s="12" t="s">
        <v>1</v>
      </c>
      <c r="C1" s="13" t="s">
        <v>2</v>
      </c>
      <c r="D1" s="14" t="s">
        <v>3</v>
      </c>
      <c r="E1" s="15" t="s">
        <v>4</v>
      </c>
      <c r="F1" s="14" t="s">
        <v>5</v>
      </c>
      <c r="G1" s="12" t="s">
        <v>6</v>
      </c>
      <c r="H1" s="12" t="s">
        <v>7</v>
      </c>
      <c r="I1" s="16" t="s">
        <v>8</v>
      </c>
      <c r="J1" s="16" t="s">
        <v>9</v>
      </c>
      <c r="K1" s="17" t="s">
        <v>10</v>
      </c>
      <c r="L1" s="17" t="s">
        <v>11</v>
      </c>
      <c r="M1" s="18" t="s">
        <v>12</v>
      </c>
      <c r="N1" s="17" t="s">
        <v>13</v>
      </c>
      <c r="O1" s="17" t="s">
        <v>14</v>
      </c>
      <c r="P1" s="19" t="s">
        <v>15</v>
      </c>
      <c r="Q1" s="20" t="s">
        <v>16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2" t="s">
        <v>22</v>
      </c>
      <c r="X1" s="23" t="s">
        <v>23</v>
      </c>
      <c r="Y1" s="23" t="s">
        <v>24</v>
      </c>
      <c r="Z1" s="24" t="s">
        <v>25</v>
      </c>
      <c r="AA1" s="23" t="s">
        <v>26</v>
      </c>
      <c r="AB1" s="23" t="s">
        <v>27</v>
      </c>
      <c r="AC1" s="24" t="s">
        <v>28</v>
      </c>
      <c r="AD1" s="23" t="s">
        <v>29</v>
      </c>
      <c r="AE1" s="23" t="s">
        <v>30</v>
      </c>
      <c r="AF1" s="24" t="s">
        <v>31</v>
      </c>
      <c r="AG1" s="23" t="s">
        <v>32</v>
      </c>
      <c r="AH1" s="16" t="s">
        <v>33</v>
      </c>
      <c r="AI1" s="25" t="s">
        <v>34</v>
      </c>
      <c r="AJ1" s="26" t="s">
        <v>35</v>
      </c>
      <c r="AK1" s="27" t="s">
        <v>36</v>
      </c>
      <c r="AL1" s="28" t="s">
        <v>37</v>
      </c>
      <c r="AM1" s="29" t="s">
        <v>38</v>
      </c>
      <c r="AN1" s="30" t="s">
        <v>39</v>
      </c>
      <c r="AO1" s="31" t="s">
        <v>40</v>
      </c>
      <c r="AP1" s="32" t="s">
        <v>41</v>
      </c>
      <c r="AQ1" s="33" t="s">
        <v>42</v>
      </c>
      <c r="AR1" s="33" t="s">
        <v>43</v>
      </c>
      <c r="AS1" s="33" t="s">
        <v>44</v>
      </c>
      <c r="AT1" s="33" t="s">
        <v>45</v>
      </c>
      <c r="AU1" s="33" t="s">
        <v>46</v>
      </c>
      <c r="AV1" s="33" t="s">
        <v>47</v>
      </c>
      <c r="AW1" s="34" t="s">
        <v>48</v>
      </c>
      <c r="AX1" s="12" t="s">
        <v>49</v>
      </c>
      <c r="AY1" s="31" t="s">
        <v>50</v>
      </c>
      <c r="AZ1" s="31" t="s">
        <v>51</v>
      </c>
      <c r="BA1" s="12" t="s">
        <v>52</v>
      </c>
      <c r="BB1" s="12" t="s">
        <v>53</v>
      </c>
      <c r="BC1" s="12" t="s">
        <v>54</v>
      </c>
      <c r="BD1" s="14" t="s">
        <v>55</v>
      </c>
      <c r="BE1" s="14" t="s">
        <v>56</v>
      </c>
      <c r="BF1" s="12" t="s">
        <v>57</v>
      </c>
      <c r="BG1" s="12" t="s">
        <v>58</v>
      </c>
      <c r="BH1" s="12" t="s">
        <v>59</v>
      </c>
      <c r="BI1" s="14" t="s">
        <v>60</v>
      </c>
      <c r="BJ1" s="14" t="s">
        <v>61</v>
      </c>
      <c r="BK1" s="12" t="s">
        <v>62</v>
      </c>
      <c r="BL1" s="12" t="s">
        <v>63</v>
      </c>
      <c r="BM1" s="33" t="s">
        <v>64</v>
      </c>
      <c r="BN1" s="33" t="s">
        <v>65</v>
      </c>
      <c r="BO1" s="33" t="s">
        <v>66</v>
      </c>
      <c r="BP1" s="33" t="s">
        <v>67</v>
      </c>
      <c r="BQ1" s="35" t="s">
        <v>68</v>
      </c>
      <c r="BR1" s="35" t="s">
        <v>69</v>
      </c>
      <c r="BS1" s="33" t="s">
        <v>70</v>
      </c>
      <c r="BT1" s="33" t="s">
        <v>71</v>
      </c>
      <c r="BU1" s="33" t="s">
        <v>72</v>
      </c>
      <c r="BV1" s="33" t="s">
        <v>73</v>
      </c>
      <c r="BW1" s="35" t="s">
        <v>74</v>
      </c>
      <c r="BX1" s="35" t="s">
        <v>75</v>
      </c>
      <c r="BY1" s="33" t="s">
        <v>76</v>
      </c>
      <c r="BZ1" s="33" t="s">
        <v>77</v>
      </c>
      <c r="CA1" s="33" t="s">
        <v>78</v>
      </c>
      <c r="CB1" s="33" t="s">
        <v>79</v>
      </c>
      <c r="CC1" s="35" t="s">
        <v>80</v>
      </c>
      <c r="CD1" s="35" t="s">
        <v>81</v>
      </c>
      <c r="CE1" s="33" t="s">
        <v>82</v>
      </c>
      <c r="CF1" s="33" t="s">
        <v>83</v>
      </c>
      <c r="CG1" s="33" t="s">
        <v>84</v>
      </c>
      <c r="CH1" s="33" t="s">
        <v>85</v>
      </c>
      <c r="CI1" s="35" t="s">
        <v>86</v>
      </c>
      <c r="CJ1" s="35" t="s">
        <v>87</v>
      </c>
      <c r="CK1" s="12" t="s">
        <v>88</v>
      </c>
      <c r="CL1" s="12" t="s">
        <v>89</v>
      </c>
      <c r="CM1" s="31" t="s">
        <v>90</v>
      </c>
      <c r="CN1" s="31" t="s">
        <v>91</v>
      </c>
      <c r="CO1" s="12" t="s">
        <v>92</v>
      </c>
      <c r="CP1" s="12" t="s">
        <v>93</v>
      </c>
      <c r="CQ1" s="12" t="s">
        <v>94</v>
      </c>
      <c r="CR1" s="12" t="s">
        <v>95</v>
      </c>
      <c r="CS1" s="12" t="s">
        <v>96</v>
      </c>
      <c r="CT1" s="12" t="s">
        <v>97</v>
      </c>
      <c r="CU1" s="12" t="s">
        <v>98</v>
      </c>
      <c r="CV1" s="12" t="s">
        <v>99</v>
      </c>
      <c r="CW1" s="12" t="s">
        <v>100</v>
      </c>
      <c r="CX1" s="36" t="s">
        <v>101</v>
      </c>
      <c r="CY1" s="36" t="s">
        <v>102</v>
      </c>
      <c r="CZ1" s="37" t="s">
        <v>103</v>
      </c>
      <c r="DA1" s="38" t="s">
        <v>104</v>
      </c>
      <c r="DB1" s="37" t="s">
        <v>105</v>
      </c>
      <c r="DC1" s="37" t="s">
        <v>106</v>
      </c>
    </row>
    <row r="2" customFormat="false" ht="14.25" hidden="false" customHeight="false" outlineLevel="0" collapsed="false">
      <c r="A2" s="12" t="s">
        <v>107</v>
      </c>
      <c r="B2" s="12" t="s">
        <v>108</v>
      </c>
      <c r="C2" s="13" t="s">
        <v>109</v>
      </c>
      <c r="D2" s="14" t="s">
        <v>110</v>
      </c>
      <c r="E2" s="15" t="s">
        <v>110</v>
      </c>
      <c r="F2" s="14" t="s">
        <v>110</v>
      </c>
      <c r="G2" s="12" t="s">
        <v>111</v>
      </c>
      <c r="H2" s="12" t="s">
        <v>112</v>
      </c>
      <c r="I2" s="16" t="s">
        <v>113</v>
      </c>
      <c r="J2" s="16" t="s">
        <v>113</v>
      </c>
      <c r="K2" s="17" t="s">
        <v>114</v>
      </c>
      <c r="L2" s="17" t="s">
        <v>115</v>
      </c>
      <c r="M2" s="18" t="s">
        <v>116</v>
      </c>
      <c r="N2" s="17" t="s">
        <v>117</v>
      </c>
      <c r="O2" s="17" t="s">
        <v>118</v>
      </c>
      <c r="P2" s="19" t="s">
        <v>119</v>
      </c>
      <c r="Q2" s="20" t="s">
        <v>110</v>
      </c>
      <c r="R2" s="21" t="s">
        <v>120</v>
      </c>
      <c r="S2" s="21" t="s">
        <v>120</v>
      </c>
      <c r="T2" s="21" t="s">
        <v>120</v>
      </c>
      <c r="U2" s="21" t="s">
        <v>120</v>
      </c>
      <c r="V2" s="21" t="s">
        <v>121</v>
      </c>
      <c r="W2" s="22" t="s">
        <v>110</v>
      </c>
      <c r="X2" s="23" t="s">
        <v>122</v>
      </c>
      <c r="Y2" s="23" t="s">
        <v>121</v>
      </c>
      <c r="Z2" s="24" t="s">
        <v>110</v>
      </c>
      <c r="AA2" s="23" t="s">
        <v>122</v>
      </c>
      <c r="AB2" s="23" t="s">
        <v>121</v>
      </c>
      <c r="AC2" s="24" t="s">
        <v>110</v>
      </c>
      <c r="AD2" s="23" t="s">
        <v>122</v>
      </c>
      <c r="AE2" s="23" t="s">
        <v>121</v>
      </c>
      <c r="AF2" s="24" t="s">
        <v>110</v>
      </c>
      <c r="AG2" s="23" t="s">
        <v>122</v>
      </c>
      <c r="AH2" s="16" t="s">
        <v>121</v>
      </c>
      <c r="AI2" s="25" t="s">
        <v>110</v>
      </c>
      <c r="AJ2" s="26" t="s">
        <v>122</v>
      </c>
      <c r="AK2" s="27" t="s">
        <v>121</v>
      </c>
      <c r="AL2" s="28" t="s">
        <v>110</v>
      </c>
      <c r="AM2" s="29" t="s">
        <v>122</v>
      </c>
      <c r="AN2" s="30" t="s">
        <v>121</v>
      </c>
      <c r="AO2" s="31" t="s">
        <v>110</v>
      </c>
      <c r="AP2" s="32" t="s">
        <v>122</v>
      </c>
      <c r="AQ2" s="33" t="s">
        <v>123</v>
      </c>
      <c r="AR2" s="33" t="s">
        <v>124</v>
      </c>
      <c r="AS2" s="33" t="s">
        <v>125</v>
      </c>
      <c r="AT2" s="33" t="s">
        <v>126</v>
      </c>
      <c r="AU2" s="33" t="s">
        <v>127</v>
      </c>
      <c r="AV2" s="33" t="s">
        <v>128</v>
      </c>
      <c r="AW2" s="34" t="s">
        <v>129</v>
      </c>
      <c r="AX2" s="12" t="s">
        <v>130</v>
      </c>
      <c r="AY2" s="31" t="s">
        <v>110</v>
      </c>
      <c r="AZ2" s="31" t="s">
        <v>110</v>
      </c>
      <c r="BA2" s="12" t="s">
        <v>131</v>
      </c>
      <c r="BB2" s="12" t="s">
        <v>132</v>
      </c>
      <c r="BC2" s="12" t="s">
        <v>130</v>
      </c>
      <c r="BD2" s="31" t="s">
        <v>110</v>
      </c>
      <c r="BE2" s="31" t="s">
        <v>110</v>
      </c>
      <c r="BF2" s="12" t="s">
        <v>131</v>
      </c>
      <c r="BG2" s="12" t="s">
        <v>132</v>
      </c>
      <c r="BH2" s="12" t="s">
        <v>130</v>
      </c>
      <c r="BI2" s="31" t="s">
        <v>110</v>
      </c>
      <c r="BJ2" s="31" t="s">
        <v>110</v>
      </c>
      <c r="BK2" s="12" t="s">
        <v>131</v>
      </c>
      <c r="BL2" s="12" t="s">
        <v>132</v>
      </c>
      <c r="BM2" s="33" t="s">
        <v>133</v>
      </c>
      <c r="BN2" s="33" t="s">
        <v>134</v>
      </c>
      <c r="BO2" s="33" t="s">
        <v>135</v>
      </c>
      <c r="BP2" s="33" t="s">
        <v>134</v>
      </c>
      <c r="BQ2" s="35" t="s">
        <v>110</v>
      </c>
      <c r="BR2" s="39" t="n">
        <v>0.0423611111111111</v>
      </c>
      <c r="BS2" s="33" t="s">
        <v>133</v>
      </c>
      <c r="BT2" s="33" t="s">
        <v>134</v>
      </c>
      <c r="BU2" s="33" t="s">
        <v>135</v>
      </c>
      <c r="BV2" s="33" t="s">
        <v>134</v>
      </c>
      <c r="BW2" s="35" t="s">
        <v>110</v>
      </c>
      <c r="BX2" s="39" t="n">
        <v>0.0423611111111111</v>
      </c>
      <c r="BY2" s="33" t="s">
        <v>133</v>
      </c>
      <c r="BZ2" s="33" t="s">
        <v>134</v>
      </c>
      <c r="CA2" s="33" t="s">
        <v>133</v>
      </c>
      <c r="CB2" s="33" t="s">
        <v>134</v>
      </c>
      <c r="CC2" s="35" t="s">
        <v>110</v>
      </c>
      <c r="CD2" s="39" t="n">
        <v>0.0423611111111111</v>
      </c>
      <c r="CE2" s="33" t="s">
        <v>133</v>
      </c>
      <c r="CF2" s="33" t="s">
        <v>134</v>
      </c>
      <c r="CG2" s="33" t="s">
        <v>135</v>
      </c>
      <c r="CH2" s="33" t="s">
        <v>134</v>
      </c>
      <c r="CI2" s="35" t="s">
        <v>110</v>
      </c>
      <c r="CJ2" s="39" t="n">
        <v>0.0423611111111111</v>
      </c>
      <c r="CK2" s="12" t="s">
        <v>136</v>
      </c>
      <c r="CL2" s="12" t="s">
        <v>137</v>
      </c>
      <c r="CM2" s="31" t="s">
        <v>110</v>
      </c>
      <c r="CN2" s="31" t="s">
        <v>110</v>
      </c>
      <c r="CO2" s="12" t="s">
        <v>138</v>
      </c>
      <c r="CP2" s="12" t="s">
        <v>137</v>
      </c>
      <c r="CQ2" s="31" t="s">
        <v>110</v>
      </c>
      <c r="CR2" s="31" t="s">
        <v>110</v>
      </c>
      <c r="CS2" s="12" t="s">
        <v>138</v>
      </c>
      <c r="CT2" s="12" t="s">
        <v>137</v>
      </c>
      <c r="CU2" s="31" t="s">
        <v>110</v>
      </c>
      <c r="CV2" s="31" t="s">
        <v>110</v>
      </c>
      <c r="CW2" s="12" t="s">
        <v>138</v>
      </c>
      <c r="CX2" s="36" t="s">
        <v>107</v>
      </c>
      <c r="CY2" s="36" t="s">
        <v>107</v>
      </c>
      <c r="CZ2" s="37" t="s">
        <v>107</v>
      </c>
      <c r="DA2" s="38" t="s">
        <v>110</v>
      </c>
      <c r="DB2" s="37" t="s">
        <v>135</v>
      </c>
      <c r="DC2" s="37" t="s">
        <v>139</v>
      </c>
    </row>
    <row r="3" s="58" customFormat="true" ht="11.25" hidden="false" customHeight="true" outlineLevel="0" collapsed="false">
      <c r="A3" s="40" t="s">
        <v>140</v>
      </c>
      <c r="B3" s="41" t="s">
        <v>108</v>
      </c>
      <c r="C3" s="42" t="s">
        <v>109</v>
      </c>
      <c r="D3" s="43"/>
      <c r="E3" s="43" t="n">
        <v>45662</v>
      </c>
      <c r="F3" s="43" t="n">
        <v>45662</v>
      </c>
      <c r="G3" s="41" t="s">
        <v>111</v>
      </c>
      <c r="H3" s="41" t="s">
        <v>141</v>
      </c>
      <c r="I3" s="41" t="s">
        <v>113</v>
      </c>
      <c r="J3" s="41" t="s">
        <v>113</v>
      </c>
      <c r="K3" s="42" t="s">
        <v>142</v>
      </c>
      <c r="L3" s="42" t="s">
        <v>143</v>
      </c>
      <c r="M3" s="40" t="s">
        <v>144</v>
      </c>
      <c r="N3" s="42" t="s">
        <v>145</v>
      </c>
      <c r="O3" s="42" t="s">
        <v>118</v>
      </c>
      <c r="P3" s="41" t="s">
        <v>119</v>
      </c>
      <c r="Q3" s="44" t="n">
        <v>28288</v>
      </c>
      <c r="R3" s="42" t="s">
        <v>146</v>
      </c>
      <c r="S3" s="42" t="s">
        <v>120</v>
      </c>
      <c r="T3" s="42"/>
      <c r="U3" s="41"/>
      <c r="V3" s="45" t="s">
        <v>147</v>
      </c>
      <c r="W3" s="43" t="n">
        <v>45658</v>
      </c>
      <c r="X3" s="43" t="s">
        <v>148</v>
      </c>
      <c r="Y3" s="45" t="s">
        <v>149</v>
      </c>
      <c r="Z3" s="43" t="n">
        <v>45659</v>
      </c>
      <c r="AA3" s="43" t="s">
        <v>150</v>
      </c>
      <c r="AB3" s="45" t="s">
        <v>151</v>
      </c>
      <c r="AC3" s="43" t="n">
        <v>45659</v>
      </c>
      <c r="AD3" s="43" t="s">
        <v>152</v>
      </c>
      <c r="AE3" s="45" t="s">
        <v>153</v>
      </c>
      <c r="AF3" s="41"/>
      <c r="AG3" s="41"/>
      <c r="AH3" s="46" t="str">
        <f aca="false">AB3</f>
        <v>TK9608  PTY SCL</v>
      </c>
      <c r="AI3" s="47" t="n">
        <f aca="false">AC3</f>
        <v>45659</v>
      </c>
      <c r="AJ3" s="48" t="str">
        <f aca="false">AD3</f>
        <v>21:28 06:00</v>
      </c>
      <c r="AK3" s="49" t="s">
        <v>154</v>
      </c>
      <c r="AL3" s="43" t="n">
        <v>45660</v>
      </c>
      <c r="AM3" s="50" t="s">
        <v>155</v>
      </c>
      <c r="AN3" s="51" t="s">
        <v>156</v>
      </c>
      <c r="AO3" s="43" t="s">
        <v>157</v>
      </c>
      <c r="AP3" s="52" t="n">
        <v>0.34375</v>
      </c>
      <c r="AQ3" s="41" t="s">
        <v>123</v>
      </c>
      <c r="AR3" s="41" t="s">
        <v>124</v>
      </c>
      <c r="AS3" s="41" t="s">
        <v>125</v>
      </c>
      <c r="AT3" s="41" t="s">
        <v>126</v>
      </c>
      <c r="AU3" s="41" t="s">
        <v>127</v>
      </c>
      <c r="AV3" s="41" t="s">
        <v>128</v>
      </c>
      <c r="AW3" s="41" t="n">
        <v>3</v>
      </c>
      <c r="AX3" s="53" t="s">
        <v>158</v>
      </c>
      <c r="AY3" s="43" t="n">
        <v>45660</v>
      </c>
      <c r="AZ3" s="43" t="n">
        <v>45662</v>
      </c>
      <c r="BA3" s="41" t="s">
        <v>159</v>
      </c>
      <c r="BB3" s="41" t="s">
        <v>160</v>
      </c>
      <c r="BC3" s="53" t="s">
        <v>161</v>
      </c>
      <c r="BD3" s="43"/>
      <c r="BE3" s="43"/>
      <c r="BF3" s="41"/>
      <c r="BG3" s="41" t="s">
        <v>161</v>
      </c>
      <c r="BH3" s="53" t="s">
        <v>161</v>
      </c>
      <c r="BI3" s="44"/>
      <c r="BJ3" s="44"/>
      <c r="BK3" s="41"/>
      <c r="BL3" s="41" t="s">
        <v>161</v>
      </c>
      <c r="BM3" s="41" t="s">
        <v>135</v>
      </c>
      <c r="BN3" s="41" t="s">
        <v>162</v>
      </c>
      <c r="BO3" s="41" t="s">
        <v>135</v>
      </c>
      <c r="BP3" s="41" t="s">
        <v>163</v>
      </c>
      <c r="BQ3" s="43" t="n">
        <f aca="false">AL3</f>
        <v>45660</v>
      </c>
      <c r="BR3" s="54" t="str">
        <f aca="false">MID(AM3,7,8)</f>
        <v>17:41</v>
      </c>
      <c r="BS3" s="41" t="s">
        <v>135</v>
      </c>
      <c r="BT3" s="41" t="s">
        <v>163</v>
      </c>
      <c r="BU3" s="41" t="s">
        <v>135</v>
      </c>
      <c r="BV3" s="41" t="s">
        <v>164</v>
      </c>
      <c r="BW3" s="43" t="n">
        <f aca="false">AZ3</f>
        <v>45662</v>
      </c>
      <c r="BX3" s="54"/>
      <c r="BY3" s="41"/>
      <c r="BZ3" s="43"/>
      <c r="CA3" s="40"/>
      <c r="CB3" s="40"/>
      <c r="CC3" s="43"/>
      <c r="CD3" s="54"/>
      <c r="CE3" s="55"/>
      <c r="CF3" s="43"/>
      <c r="CG3" s="43"/>
      <c r="CH3" s="43"/>
      <c r="CI3" s="43"/>
      <c r="CJ3" s="54"/>
      <c r="CK3" s="41"/>
      <c r="CL3" s="40"/>
      <c r="CM3" s="44"/>
      <c r="CN3" s="44"/>
      <c r="CO3" s="40"/>
      <c r="CP3" s="41"/>
      <c r="CQ3" s="44"/>
      <c r="CR3" s="56"/>
      <c r="CS3" s="40"/>
      <c r="CT3" s="40"/>
      <c r="CU3" s="57"/>
      <c r="CV3" s="40"/>
      <c r="CX3" s="41"/>
      <c r="CY3" s="40"/>
      <c r="CZ3" s="41"/>
      <c r="DA3" s="43"/>
      <c r="DB3" s="41"/>
    </row>
    <row r="4" s="58" customFormat="true" ht="11.25" hidden="false" customHeight="true" outlineLevel="0" collapsed="false">
      <c r="A4" s="40" t="s">
        <v>140</v>
      </c>
      <c r="B4" s="41" t="s">
        <v>108</v>
      </c>
      <c r="C4" s="42" t="s">
        <v>109</v>
      </c>
      <c r="D4" s="43"/>
      <c r="E4" s="43" t="n">
        <v>45662</v>
      </c>
      <c r="F4" s="43" t="n">
        <v>45662</v>
      </c>
      <c r="G4" s="41" t="s">
        <v>111</v>
      </c>
      <c r="H4" s="41" t="s">
        <v>141</v>
      </c>
      <c r="I4" s="41" t="s">
        <v>113</v>
      </c>
      <c r="J4" s="41" t="s">
        <v>113</v>
      </c>
      <c r="K4" s="42" t="s">
        <v>165</v>
      </c>
      <c r="L4" s="42" t="s">
        <v>166</v>
      </c>
      <c r="M4" s="40" t="s">
        <v>144</v>
      </c>
      <c r="N4" s="42" t="s">
        <v>167</v>
      </c>
      <c r="O4" s="42" t="s">
        <v>168</v>
      </c>
      <c r="P4" s="41" t="s">
        <v>169</v>
      </c>
      <c r="Q4" s="44" t="n">
        <v>32524</v>
      </c>
      <c r="R4" s="42" t="s">
        <v>146</v>
      </c>
      <c r="S4" s="42" t="s">
        <v>120</v>
      </c>
      <c r="T4" s="42"/>
      <c r="U4" s="41"/>
      <c r="V4" s="45" t="s">
        <v>170</v>
      </c>
      <c r="W4" s="43" t="n">
        <v>45659</v>
      </c>
      <c r="X4" s="43" t="s">
        <v>171</v>
      </c>
      <c r="Y4" s="45" t="s">
        <v>172</v>
      </c>
      <c r="Z4" s="43" t="s">
        <v>173</v>
      </c>
      <c r="AA4" s="43" t="s">
        <v>174</v>
      </c>
      <c r="AB4" s="45" t="s">
        <v>161</v>
      </c>
      <c r="AC4" s="43"/>
      <c r="AD4" s="43"/>
      <c r="AE4" s="45" t="s">
        <v>153</v>
      </c>
      <c r="AF4" s="41"/>
      <c r="AG4" s="41"/>
      <c r="AH4" s="46" t="str">
        <f aca="false">AB4</f>
        <v>NO</v>
      </c>
      <c r="AI4" s="47"/>
      <c r="AJ4" s="48"/>
      <c r="AK4" s="49" t="s">
        <v>175</v>
      </c>
      <c r="AL4" s="43" t="n">
        <v>45660</v>
      </c>
      <c r="AM4" s="50" t="s">
        <v>176</v>
      </c>
      <c r="AN4" s="51" t="s">
        <v>156</v>
      </c>
      <c r="AO4" s="43" t="s">
        <v>157</v>
      </c>
      <c r="AP4" s="52" t="n">
        <v>0.34375</v>
      </c>
      <c r="AQ4" s="41" t="s">
        <v>123</v>
      </c>
      <c r="AR4" s="41" t="s">
        <v>124</v>
      </c>
      <c r="AS4" s="41" t="s">
        <v>125</v>
      </c>
      <c r="AT4" s="41" t="s">
        <v>126</v>
      </c>
      <c r="AU4" s="41" t="s">
        <v>127</v>
      </c>
      <c r="AV4" s="41" t="s">
        <v>128</v>
      </c>
      <c r="AW4" s="41" t="n">
        <v>3</v>
      </c>
      <c r="AX4" s="53" t="s">
        <v>158</v>
      </c>
      <c r="AY4" s="43" t="n">
        <v>45660</v>
      </c>
      <c r="AZ4" s="43" t="n">
        <v>45662</v>
      </c>
      <c r="BA4" s="41" t="s">
        <v>159</v>
      </c>
      <c r="BB4" s="41" t="s">
        <v>160</v>
      </c>
      <c r="BC4" s="53" t="s">
        <v>161</v>
      </c>
      <c r="BD4" s="43"/>
      <c r="BE4" s="43"/>
      <c r="BF4" s="41"/>
      <c r="BG4" s="41" t="s">
        <v>161</v>
      </c>
      <c r="BH4" s="53" t="s">
        <v>161</v>
      </c>
      <c r="BI4" s="44"/>
      <c r="BJ4" s="44"/>
      <c r="BK4" s="41"/>
      <c r="BL4" s="41" t="s">
        <v>161</v>
      </c>
      <c r="BM4" s="41" t="s">
        <v>135</v>
      </c>
      <c r="BN4" s="41" t="s">
        <v>162</v>
      </c>
      <c r="BO4" s="41" t="s">
        <v>135</v>
      </c>
      <c r="BP4" s="41" t="s">
        <v>163</v>
      </c>
      <c r="BQ4" s="43" t="n">
        <f aca="false">AL4</f>
        <v>45660</v>
      </c>
      <c r="BR4" s="54" t="str">
        <f aca="false">MID(AM4,7,8)</f>
        <v>20:07</v>
      </c>
      <c r="BS4" s="41" t="s">
        <v>135</v>
      </c>
      <c r="BT4" s="41" t="s">
        <v>163</v>
      </c>
      <c r="BU4" s="41" t="s">
        <v>135</v>
      </c>
      <c r="BV4" s="41" t="s">
        <v>164</v>
      </c>
      <c r="BW4" s="43" t="n">
        <f aca="false">AZ4</f>
        <v>45662</v>
      </c>
      <c r="BX4" s="54"/>
      <c r="BY4" s="41"/>
      <c r="BZ4" s="43"/>
      <c r="CA4" s="40"/>
      <c r="CB4" s="40"/>
      <c r="CC4" s="43"/>
      <c r="CD4" s="54"/>
      <c r="CE4" s="55"/>
      <c r="CF4" s="43"/>
      <c r="CG4" s="43"/>
      <c r="CH4" s="43"/>
      <c r="CI4" s="43"/>
      <c r="CJ4" s="54"/>
      <c r="CK4" s="41"/>
      <c r="CL4" s="40"/>
      <c r="CM4" s="44"/>
      <c r="CN4" s="44"/>
      <c r="CO4" s="40"/>
      <c r="CP4" s="41"/>
      <c r="CQ4" s="44"/>
      <c r="CR4" s="56"/>
      <c r="CS4" s="40"/>
      <c r="CT4" s="40"/>
      <c r="CU4" s="57"/>
      <c r="CV4" s="40"/>
      <c r="CX4" s="41"/>
      <c r="CY4" s="40"/>
      <c r="CZ4" s="41"/>
      <c r="DA4" s="43"/>
      <c r="DB4" s="41"/>
    </row>
    <row r="5" s="58" customFormat="true" ht="11.25" hidden="false" customHeight="true" outlineLevel="0" collapsed="false">
      <c r="A5" s="40" t="s">
        <v>140</v>
      </c>
      <c r="B5" s="41" t="s">
        <v>108</v>
      </c>
      <c r="C5" s="42" t="s">
        <v>109</v>
      </c>
      <c r="D5" s="43"/>
      <c r="E5" s="43" t="n">
        <v>45662</v>
      </c>
      <c r="F5" s="43" t="n">
        <v>45662</v>
      </c>
      <c r="G5" s="41" t="s">
        <v>111</v>
      </c>
      <c r="H5" s="41" t="s">
        <v>141</v>
      </c>
      <c r="I5" s="41" t="s">
        <v>113</v>
      </c>
      <c r="J5" s="41" t="s">
        <v>113</v>
      </c>
      <c r="K5" s="42" t="s">
        <v>177</v>
      </c>
      <c r="L5" s="42" t="s">
        <v>178</v>
      </c>
      <c r="M5" s="40" t="s">
        <v>144</v>
      </c>
      <c r="N5" s="42" t="s">
        <v>179</v>
      </c>
      <c r="O5" s="42" t="s">
        <v>168</v>
      </c>
      <c r="P5" s="41" t="s">
        <v>180</v>
      </c>
      <c r="Q5" s="44" t="n">
        <v>32346</v>
      </c>
      <c r="R5" s="42" t="s">
        <v>181</v>
      </c>
      <c r="S5" s="42" t="s">
        <v>120</v>
      </c>
      <c r="T5" s="42"/>
      <c r="U5" s="41"/>
      <c r="V5" s="45" t="s">
        <v>182</v>
      </c>
      <c r="W5" s="43" t="n">
        <v>45661</v>
      </c>
      <c r="X5" s="43" t="s">
        <v>183</v>
      </c>
      <c r="Y5" s="45" t="s">
        <v>153</v>
      </c>
      <c r="Z5" s="43"/>
      <c r="AA5" s="43"/>
      <c r="AB5" s="45" t="s">
        <v>153</v>
      </c>
      <c r="AC5" s="43"/>
      <c r="AD5" s="43"/>
      <c r="AE5" s="45" t="s">
        <v>153</v>
      </c>
      <c r="AF5" s="41"/>
      <c r="AG5" s="41"/>
      <c r="AH5" s="46" t="str">
        <f aca="false">AB5</f>
        <v>NO</v>
      </c>
      <c r="AI5" s="47"/>
      <c r="AJ5" s="48"/>
      <c r="AK5" s="49" t="s">
        <v>184</v>
      </c>
      <c r="AL5" s="43" t="n">
        <v>45661</v>
      </c>
      <c r="AM5" s="50" t="s">
        <v>185</v>
      </c>
      <c r="AN5" s="51" t="s">
        <v>156</v>
      </c>
      <c r="AO5" s="43" t="s">
        <v>157</v>
      </c>
      <c r="AP5" s="52" t="n">
        <v>0.34375</v>
      </c>
      <c r="AQ5" s="41" t="s">
        <v>123</v>
      </c>
      <c r="AR5" s="41" t="s">
        <v>124</v>
      </c>
      <c r="AS5" s="41" t="s">
        <v>125</v>
      </c>
      <c r="AT5" s="41" t="s">
        <v>126</v>
      </c>
      <c r="AU5" s="41" t="s">
        <v>127</v>
      </c>
      <c r="AV5" s="41" t="s">
        <v>128</v>
      </c>
      <c r="AW5" s="41" t="n">
        <v>3</v>
      </c>
      <c r="AX5" s="53" t="s">
        <v>158</v>
      </c>
      <c r="AY5" s="43" t="n">
        <v>45661</v>
      </c>
      <c r="AZ5" s="43" t="n">
        <v>45662</v>
      </c>
      <c r="BA5" s="41" t="s">
        <v>186</v>
      </c>
      <c r="BB5" s="41" t="s">
        <v>160</v>
      </c>
      <c r="BC5" s="53" t="s">
        <v>161</v>
      </c>
      <c r="BD5" s="43"/>
      <c r="BE5" s="43"/>
      <c r="BF5" s="41"/>
      <c r="BG5" s="41" t="s">
        <v>161</v>
      </c>
      <c r="BH5" s="53" t="s">
        <v>161</v>
      </c>
      <c r="BI5" s="44"/>
      <c r="BJ5" s="44"/>
      <c r="BK5" s="41"/>
      <c r="BL5" s="41" t="s">
        <v>161</v>
      </c>
      <c r="BM5" s="41" t="s">
        <v>135</v>
      </c>
      <c r="BN5" s="41" t="s">
        <v>162</v>
      </c>
      <c r="BO5" s="41" t="s">
        <v>135</v>
      </c>
      <c r="BP5" s="41" t="s">
        <v>163</v>
      </c>
      <c r="BQ5" s="43" t="n">
        <f aca="false">AL5</f>
        <v>45661</v>
      </c>
      <c r="BR5" s="54" t="str">
        <f aca="false">MID(AM5,7,8)</f>
        <v>19:40</v>
      </c>
      <c r="BS5" s="41" t="s">
        <v>135</v>
      </c>
      <c r="BT5" s="41" t="s">
        <v>163</v>
      </c>
      <c r="BU5" s="41" t="s">
        <v>135</v>
      </c>
      <c r="BV5" s="41" t="s">
        <v>164</v>
      </c>
      <c r="BW5" s="43" t="n">
        <f aca="false">AZ5</f>
        <v>45662</v>
      </c>
      <c r="BX5" s="54"/>
      <c r="BY5" s="41"/>
      <c r="BZ5" s="43"/>
      <c r="CA5" s="40"/>
      <c r="CB5" s="40"/>
      <c r="CC5" s="43"/>
      <c r="CD5" s="54"/>
      <c r="CE5" s="55"/>
      <c r="CF5" s="43"/>
      <c r="CG5" s="43"/>
      <c r="CH5" s="43"/>
      <c r="CI5" s="43"/>
      <c r="CJ5" s="54"/>
      <c r="CK5" s="41"/>
      <c r="CL5" s="40"/>
      <c r="CM5" s="44"/>
      <c r="CN5" s="44"/>
      <c r="CO5" s="40"/>
      <c r="CP5" s="41"/>
      <c r="CQ5" s="44"/>
      <c r="CR5" s="56"/>
      <c r="CS5" s="40"/>
      <c r="CT5" s="40"/>
      <c r="CU5" s="57"/>
      <c r="CV5" s="40"/>
      <c r="CX5" s="41"/>
      <c r="CY5" s="40"/>
      <c r="CZ5" s="41"/>
      <c r="DA5" s="43"/>
      <c r="DB5" s="41"/>
    </row>
    <row r="6" s="58" customFormat="true" ht="11.25" hidden="false" customHeight="true" outlineLevel="0" collapsed="false">
      <c r="A6" s="40" t="s">
        <v>140</v>
      </c>
      <c r="B6" s="41" t="s">
        <v>108</v>
      </c>
      <c r="C6" s="42" t="s">
        <v>109</v>
      </c>
      <c r="D6" s="43"/>
      <c r="E6" s="43" t="n">
        <v>45662</v>
      </c>
      <c r="F6" s="43" t="n">
        <v>45662</v>
      </c>
      <c r="G6" s="41" t="s">
        <v>111</v>
      </c>
      <c r="H6" s="41" t="s">
        <v>141</v>
      </c>
      <c r="I6" s="41" t="s">
        <v>113</v>
      </c>
      <c r="J6" s="41" t="s">
        <v>113</v>
      </c>
      <c r="K6" s="42" t="s">
        <v>187</v>
      </c>
      <c r="L6" s="42" t="s">
        <v>188</v>
      </c>
      <c r="M6" s="40" t="s">
        <v>144</v>
      </c>
      <c r="N6" s="42" t="s">
        <v>189</v>
      </c>
      <c r="O6" s="42" t="s">
        <v>190</v>
      </c>
      <c r="P6" s="41" t="s">
        <v>191</v>
      </c>
      <c r="Q6" s="44" t="n">
        <v>30193</v>
      </c>
      <c r="R6" s="42" t="s">
        <v>120</v>
      </c>
      <c r="S6" s="42"/>
      <c r="T6" s="42"/>
      <c r="U6" s="41"/>
      <c r="V6" s="45" t="s">
        <v>192</v>
      </c>
      <c r="W6" s="43" t="n">
        <v>45660</v>
      </c>
      <c r="X6" s="43" t="s">
        <v>193</v>
      </c>
      <c r="Y6" s="45" t="s">
        <v>194</v>
      </c>
      <c r="Z6" s="43" t="n">
        <v>45660</v>
      </c>
      <c r="AA6" s="43" t="s">
        <v>195</v>
      </c>
      <c r="AB6" s="45" t="s">
        <v>153</v>
      </c>
      <c r="AC6" s="43"/>
      <c r="AD6" s="43"/>
      <c r="AE6" s="45" t="s">
        <v>153</v>
      </c>
      <c r="AF6" s="41"/>
      <c r="AG6" s="41"/>
      <c r="AH6" s="46" t="str">
        <f aca="false">AB6</f>
        <v>NO</v>
      </c>
      <c r="AI6" s="47"/>
      <c r="AJ6" s="48"/>
      <c r="AK6" s="49" t="s">
        <v>184</v>
      </c>
      <c r="AL6" s="43" t="n">
        <v>45661</v>
      </c>
      <c r="AM6" s="50" t="s">
        <v>196</v>
      </c>
      <c r="AN6" s="51" t="s">
        <v>156</v>
      </c>
      <c r="AO6" s="43" t="s">
        <v>157</v>
      </c>
      <c r="AP6" s="52" t="n">
        <v>0.34375</v>
      </c>
      <c r="AQ6" s="41" t="s">
        <v>123</v>
      </c>
      <c r="AR6" s="41" t="s">
        <v>124</v>
      </c>
      <c r="AS6" s="41" t="s">
        <v>125</v>
      </c>
      <c r="AT6" s="41" t="s">
        <v>126</v>
      </c>
      <c r="AU6" s="41" t="s">
        <v>127</v>
      </c>
      <c r="AV6" s="41" t="s">
        <v>128</v>
      </c>
      <c r="AW6" s="41" t="n">
        <v>3</v>
      </c>
      <c r="AX6" s="53" t="s">
        <v>158</v>
      </c>
      <c r="AY6" s="43" t="n">
        <v>45661</v>
      </c>
      <c r="AZ6" s="43" t="n">
        <v>45662</v>
      </c>
      <c r="BA6" s="41" t="s">
        <v>186</v>
      </c>
      <c r="BB6" s="41" t="s">
        <v>160</v>
      </c>
      <c r="BC6" s="53" t="s">
        <v>161</v>
      </c>
      <c r="BD6" s="43"/>
      <c r="BE6" s="43"/>
      <c r="BF6" s="41"/>
      <c r="BG6" s="41" t="s">
        <v>161</v>
      </c>
      <c r="BH6" s="53" t="s">
        <v>161</v>
      </c>
      <c r="BI6" s="44"/>
      <c r="BJ6" s="44"/>
      <c r="BK6" s="41"/>
      <c r="BL6" s="41" t="s">
        <v>161</v>
      </c>
      <c r="BM6" s="41" t="s">
        <v>135</v>
      </c>
      <c r="BN6" s="41" t="s">
        <v>162</v>
      </c>
      <c r="BO6" s="41" t="s">
        <v>135</v>
      </c>
      <c r="BP6" s="41" t="s">
        <v>163</v>
      </c>
      <c r="BQ6" s="43" t="n">
        <f aca="false">AL6</f>
        <v>45661</v>
      </c>
      <c r="BR6" s="54" t="str">
        <f aca="false">MID(AM6,7,8)</f>
        <v>19:48</v>
      </c>
      <c r="BS6" s="41" t="s">
        <v>135</v>
      </c>
      <c r="BT6" s="41" t="s">
        <v>163</v>
      </c>
      <c r="BU6" s="41" t="s">
        <v>135</v>
      </c>
      <c r="BV6" s="41" t="s">
        <v>164</v>
      </c>
      <c r="BW6" s="43" t="n">
        <f aca="false">AZ6</f>
        <v>45662</v>
      </c>
      <c r="BX6" s="54"/>
      <c r="BY6" s="41"/>
      <c r="BZ6" s="43"/>
      <c r="CA6" s="40"/>
      <c r="CB6" s="40"/>
      <c r="CC6" s="43"/>
      <c r="CD6" s="54"/>
      <c r="CE6" s="55"/>
      <c r="CF6" s="43"/>
      <c r="CG6" s="43"/>
      <c r="CH6" s="43"/>
      <c r="CI6" s="43"/>
      <c r="CJ6" s="54"/>
      <c r="CK6" s="41"/>
      <c r="CL6" s="40"/>
      <c r="CM6" s="44"/>
      <c r="CN6" s="44"/>
      <c r="CO6" s="40"/>
      <c r="CP6" s="41"/>
      <c r="CQ6" s="44"/>
      <c r="CR6" s="56"/>
      <c r="CS6" s="40"/>
      <c r="CT6" s="40"/>
      <c r="CU6" s="57"/>
      <c r="CV6" s="40"/>
      <c r="CX6" s="41"/>
      <c r="CY6" s="40"/>
      <c r="CZ6" s="41"/>
      <c r="DA6" s="43"/>
      <c r="DB6" s="41"/>
    </row>
    <row r="7" s="58" customFormat="true" ht="11.25" hidden="false" customHeight="true" outlineLevel="0" collapsed="false">
      <c r="A7" s="40" t="s">
        <v>140</v>
      </c>
      <c r="B7" s="41" t="s">
        <v>108</v>
      </c>
      <c r="C7" s="42" t="s">
        <v>109</v>
      </c>
      <c r="D7" s="43"/>
      <c r="E7" s="43" t="n">
        <v>45662</v>
      </c>
      <c r="F7" s="43" t="n">
        <v>45662</v>
      </c>
      <c r="G7" s="41" t="s">
        <v>111</v>
      </c>
      <c r="H7" s="41" t="s">
        <v>141</v>
      </c>
      <c r="I7" s="41" t="s">
        <v>113</v>
      </c>
      <c r="J7" s="41" t="s">
        <v>113</v>
      </c>
      <c r="K7" s="42" t="s">
        <v>197</v>
      </c>
      <c r="L7" s="42" t="s">
        <v>198</v>
      </c>
      <c r="M7" s="40" t="s">
        <v>144</v>
      </c>
      <c r="N7" s="42" t="s">
        <v>199</v>
      </c>
      <c r="O7" s="42" t="s">
        <v>200</v>
      </c>
      <c r="P7" s="41" t="s">
        <v>201</v>
      </c>
      <c r="Q7" s="44" t="n">
        <v>36383</v>
      </c>
      <c r="R7" s="42" t="s">
        <v>202</v>
      </c>
      <c r="S7" s="42" t="s">
        <v>203</v>
      </c>
      <c r="T7" s="42" t="s">
        <v>120</v>
      </c>
      <c r="U7" s="41"/>
      <c r="V7" s="45" t="s">
        <v>204</v>
      </c>
      <c r="W7" s="43" t="n">
        <v>45659</v>
      </c>
      <c r="X7" s="43" t="s">
        <v>205</v>
      </c>
      <c r="Y7" s="45" t="s">
        <v>206</v>
      </c>
      <c r="Z7" s="43" t="n">
        <v>45660</v>
      </c>
      <c r="AA7" s="43" t="s">
        <v>207</v>
      </c>
      <c r="AB7" s="45" t="s">
        <v>208</v>
      </c>
      <c r="AC7" s="43" t="n">
        <v>45660</v>
      </c>
      <c r="AD7" s="43" t="s">
        <v>209</v>
      </c>
      <c r="AE7" s="45" t="s">
        <v>153</v>
      </c>
      <c r="AF7" s="44"/>
      <c r="AG7" s="41"/>
      <c r="AH7" s="46" t="str">
        <f aca="false">AB7</f>
        <v>KL701  AMS SCL</v>
      </c>
      <c r="AI7" s="47" t="n">
        <f aca="false">AC7</f>
        <v>45660</v>
      </c>
      <c r="AJ7" s="48" t="str">
        <f aca="false">AD7</f>
        <v>21:20 10:50</v>
      </c>
      <c r="AK7" s="49" t="s">
        <v>184</v>
      </c>
      <c r="AL7" s="43" t="n">
        <v>45661</v>
      </c>
      <c r="AM7" s="50" t="s">
        <v>196</v>
      </c>
      <c r="AN7" s="51" t="s">
        <v>156</v>
      </c>
      <c r="AO7" s="43" t="s">
        <v>157</v>
      </c>
      <c r="AP7" s="52" t="n">
        <v>0.34375</v>
      </c>
      <c r="AQ7" s="41" t="s">
        <v>123</v>
      </c>
      <c r="AR7" s="41" t="s">
        <v>124</v>
      </c>
      <c r="AS7" s="41" t="s">
        <v>125</v>
      </c>
      <c r="AT7" s="41" t="s">
        <v>126</v>
      </c>
      <c r="AU7" s="41" t="s">
        <v>127</v>
      </c>
      <c r="AV7" s="41" t="s">
        <v>128</v>
      </c>
      <c r="AW7" s="41" t="n">
        <v>3</v>
      </c>
      <c r="AX7" s="53" t="s">
        <v>158</v>
      </c>
      <c r="AY7" s="43" t="n">
        <v>45661</v>
      </c>
      <c r="AZ7" s="43" t="n">
        <v>45662</v>
      </c>
      <c r="BA7" s="41" t="s">
        <v>159</v>
      </c>
      <c r="BB7" s="41" t="s">
        <v>160</v>
      </c>
      <c r="BC7" s="53" t="s">
        <v>161</v>
      </c>
      <c r="BD7" s="43"/>
      <c r="BE7" s="43"/>
      <c r="BF7" s="41"/>
      <c r="BG7" s="41" t="s">
        <v>161</v>
      </c>
      <c r="BH7" s="53" t="s">
        <v>161</v>
      </c>
      <c r="BI7" s="44"/>
      <c r="BJ7" s="44"/>
      <c r="BK7" s="41"/>
      <c r="BL7" s="41" t="s">
        <v>161</v>
      </c>
      <c r="BM7" s="41" t="s">
        <v>135</v>
      </c>
      <c r="BN7" s="41" t="s">
        <v>162</v>
      </c>
      <c r="BO7" s="41" t="s">
        <v>135</v>
      </c>
      <c r="BP7" s="41" t="s">
        <v>163</v>
      </c>
      <c r="BQ7" s="43" t="n">
        <f aca="false">AL7</f>
        <v>45661</v>
      </c>
      <c r="BR7" s="54" t="str">
        <f aca="false">MID(AM7,7,8)</f>
        <v>19:48</v>
      </c>
      <c r="BS7" s="41" t="s">
        <v>135</v>
      </c>
      <c r="BT7" s="41" t="s">
        <v>163</v>
      </c>
      <c r="BU7" s="41" t="s">
        <v>135</v>
      </c>
      <c r="BV7" s="41" t="s">
        <v>164</v>
      </c>
      <c r="BW7" s="43" t="n">
        <f aca="false">AZ7</f>
        <v>45662</v>
      </c>
      <c r="BX7" s="54"/>
      <c r="BY7" s="41"/>
      <c r="BZ7" s="43"/>
      <c r="CA7" s="40"/>
      <c r="CB7" s="40"/>
      <c r="CC7" s="43"/>
      <c r="CD7" s="54"/>
      <c r="CE7" s="55"/>
      <c r="CF7" s="43"/>
      <c r="CG7" s="43"/>
      <c r="CH7" s="43"/>
      <c r="CI7" s="43"/>
      <c r="CJ7" s="54"/>
      <c r="CK7" s="41"/>
      <c r="CL7" s="40"/>
      <c r="CM7" s="44"/>
      <c r="CN7" s="44"/>
      <c r="CO7" s="40"/>
      <c r="CP7" s="41"/>
      <c r="CQ7" s="44"/>
      <c r="CR7" s="56"/>
      <c r="CS7" s="40"/>
      <c r="CT7" s="40"/>
      <c r="CU7" s="57"/>
      <c r="CV7" s="40"/>
      <c r="CX7" s="41"/>
      <c r="CY7" s="41"/>
      <c r="CZ7" s="41"/>
      <c r="DA7" s="43"/>
      <c r="DB7" s="41"/>
    </row>
    <row r="8" s="58" customFormat="true" ht="11.25" hidden="false" customHeight="true" outlineLevel="0" collapsed="false">
      <c r="A8" s="40" t="s">
        <v>140</v>
      </c>
      <c r="B8" s="41" t="s">
        <v>108</v>
      </c>
      <c r="C8" s="42" t="s">
        <v>109</v>
      </c>
      <c r="D8" s="43"/>
      <c r="E8" s="43" t="n">
        <v>45662</v>
      </c>
      <c r="F8" s="43" t="n">
        <v>45662</v>
      </c>
      <c r="G8" s="41" t="s">
        <v>111</v>
      </c>
      <c r="H8" s="41" t="s">
        <v>141</v>
      </c>
      <c r="I8" s="41" t="s">
        <v>113</v>
      </c>
      <c r="J8" s="41" t="s">
        <v>113</v>
      </c>
      <c r="K8" s="42" t="s">
        <v>210</v>
      </c>
      <c r="L8" s="42" t="s">
        <v>211</v>
      </c>
      <c r="M8" s="40" t="s">
        <v>144</v>
      </c>
      <c r="N8" s="42" t="s">
        <v>212</v>
      </c>
      <c r="O8" s="42" t="s">
        <v>213</v>
      </c>
      <c r="P8" s="41" t="s">
        <v>214</v>
      </c>
      <c r="Q8" s="44" t="n">
        <v>29208</v>
      </c>
      <c r="R8" s="42" t="s">
        <v>203</v>
      </c>
      <c r="S8" s="42" t="s">
        <v>120</v>
      </c>
      <c r="T8" s="42"/>
      <c r="U8" s="41"/>
      <c r="V8" s="45" t="s">
        <v>215</v>
      </c>
      <c r="W8" s="59" t="n">
        <v>45660</v>
      </c>
      <c r="X8" s="59" t="s">
        <v>209</v>
      </c>
      <c r="Y8" s="45" t="s">
        <v>153</v>
      </c>
      <c r="Z8" s="59"/>
      <c r="AA8" s="59"/>
      <c r="AB8" s="45" t="s">
        <v>153</v>
      </c>
      <c r="AC8" s="59"/>
      <c r="AD8" s="59"/>
      <c r="AE8" s="45" t="s">
        <v>153</v>
      </c>
      <c r="AF8" s="44"/>
      <c r="AG8" s="41"/>
      <c r="AH8" s="46" t="str">
        <f aca="false">AB8</f>
        <v>NO</v>
      </c>
      <c r="AI8" s="47"/>
      <c r="AJ8" s="48"/>
      <c r="AK8" s="49" t="s">
        <v>184</v>
      </c>
      <c r="AL8" s="43" t="n">
        <v>45661</v>
      </c>
      <c r="AM8" s="50" t="s">
        <v>185</v>
      </c>
      <c r="AN8" s="51" t="s">
        <v>156</v>
      </c>
      <c r="AO8" s="43" t="s">
        <v>157</v>
      </c>
      <c r="AP8" s="52" t="n">
        <v>0.34375</v>
      </c>
      <c r="AQ8" s="41" t="s">
        <v>123</v>
      </c>
      <c r="AR8" s="41" t="s">
        <v>124</v>
      </c>
      <c r="AS8" s="41" t="s">
        <v>125</v>
      </c>
      <c r="AT8" s="41" t="s">
        <v>126</v>
      </c>
      <c r="AU8" s="41" t="s">
        <v>127</v>
      </c>
      <c r="AV8" s="41" t="s">
        <v>128</v>
      </c>
      <c r="AW8" s="41" t="n">
        <v>1</v>
      </c>
      <c r="AX8" s="53" t="s">
        <v>158</v>
      </c>
      <c r="AY8" s="43" t="n">
        <v>45661</v>
      </c>
      <c r="AZ8" s="43" t="n">
        <v>45662</v>
      </c>
      <c r="BA8" s="41" t="s">
        <v>186</v>
      </c>
      <c r="BB8" s="41" t="s">
        <v>216</v>
      </c>
      <c r="BC8" s="53" t="s">
        <v>161</v>
      </c>
      <c r="BD8" s="43"/>
      <c r="BE8" s="43"/>
      <c r="BF8" s="41"/>
      <c r="BG8" s="41" t="s">
        <v>161</v>
      </c>
      <c r="BH8" s="53" t="s">
        <v>161</v>
      </c>
      <c r="BI8" s="44"/>
      <c r="BJ8" s="44"/>
      <c r="BK8" s="41"/>
      <c r="BL8" s="41" t="s">
        <v>161</v>
      </c>
      <c r="BM8" s="41" t="s">
        <v>135</v>
      </c>
      <c r="BN8" s="41" t="s">
        <v>162</v>
      </c>
      <c r="BO8" s="41" t="s">
        <v>135</v>
      </c>
      <c r="BP8" s="41" t="s">
        <v>163</v>
      </c>
      <c r="BQ8" s="43" t="n">
        <f aca="false">AL8</f>
        <v>45661</v>
      </c>
      <c r="BR8" s="54" t="str">
        <f aca="false">MID(AM8,7,8)</f>
        <v>19:40</v>
      </c>
      <c r="BS8" s="41" t="s">
        <v>135</v>
      </c>
      <c r="BT8" s="41" t="s">
        <v>163</v>
      </c>
      <c r="BU8" s="41" t="s">
        <v>135</v>
      </c>
      <c r="BV8" s="41" t="s">
        <v>164</v>
      </c>
      <c r="BW8" s="43" t="n">
        <f aca="false">AZ8</f>
        <v>45662</v>
      </c>
      <c r="BX8" s="54"/>
      <c r="BY8" s="41"/>
      <c r="BZ8" s="43"/>
      <c r="CA8" s="40"/>
      <c r="CB8" s="40"/>
      <c r="CC8" s="43"/>
      <c r="CD8" s="54"/>
      <c r="CE8" s="55"/>
      <c r="CF8" s="43"/>
      <c r="CG8" s="43"/>
      <c r="CH8" s="43"/>
      <c r="CI8" s="43"/>
      <c r="CJ8" s="54"/>
      <c r="CK8" s="41"/>
      <c r="CL8" s="40"/>
      <c r="CM8" s="44"/>
      <c r="CN8" s="44"/>
      <c r="CO8" s="40"/>
      <c r="CP8" s="41"/>
      <c r="CQ8" s="44"/>
      <c r="CR8" s="44"/>
      <c r="CS8" s="40"/>
      <c r="CT8" s="41"/>
      <c r="CU8" s="43"/>
      <c r="CV8" s="41"/>
    </row>
    <row r="9" s="58" customFormat="true" ht="11.25" hidden="false" customHeight="true" outlineLevel="0" collapsed="false">
      <c r="A9" s="40" t="s">
        <v>140</v>
      </c>
      <c r="B9" s="41" t="s">
        <v>108</v>
      </c>
      <c r="C9" s="42" t="s">
        <v>109</v>
      </c>
      <c r="D9" s="43"/>
      <c r="E9" s="43" t="n">
        <v>45662</v>
      </c>
      <c r="F9" s="43" t="n">
        <v>45662</v>
      </c>
      <c r="G9" s="41" t="s">
        <v>111</v>
      </c>
      <c r="H9" s="41" t="s">
        <v>141</v>
      </c>
      <c r="I9" s="41" t="s">
        <v>113</v>
      </c>
      <c r="J9" s="41" t="s">
        <v>113</v>
      </c>
      <c r="K9" s="42" t="s">
        <v>217</v>
      </c>
      <c r="L9" s="42" t="s">
        <v>218</v>
      </c>
      <c r="M9" s="40" t="s">
        <v>144</v>
      </c>
      <c r="N9" s="42" t="s">
        <v>219</v>
      </c>
      <c r="O9" s="42" t="s">
        <v>168</v>
      </c>
      <c r="P9" s="41" t="s">
        <v>220</v>
      </c>
      <c r="Q9" s="44" t="n">
        <v>33062</v>
      </c>
      <c r="R9" s="42" t="s">
        <v>221</v>
      </c>
      <c r="S9" s="42" t="s">
        <v>120</v>
      </c>
      <c r="T9" s="42"/>
      <c r="U9" s="41"/>
      <c r="V9" s="45" t="s">
        <v>222</v>
      </c>
      <c r="W9" s="43" t="n">
        <v>45660</v>
      </c>
      <c r="X9" s="43" t="s">
        <v>223</v>
      </c>
      <c r="Y9" s="45" t="s">
        <v>224</v>
      </c>
      <c r="Z9" s="43" t="n">
        <v>45660</v>
      </c>
      <c r="AA9" s="43" t="s">
        <v>225</v>
      </c>
      <c r="AB9" s="45" t="s">
        <v>153</v>
      </c>
      <c r="AC9" s="43"/>
      <c r="AD9" s="43"/>
      <c r="AE9" s="45" t="s">
        <v>153</v>
      </c>
      <c r="AF9" s="44"/>
      <c r="AG9" s="41"/>
      <c r="AH9" s="46" t="str">
        <f aca="false">AB9</f>
        <v>NO</v>
      </c>
      <c r="AI9" s="47"/>
      <c r="AJ9" s="48"/>
      <c r="AK9" s="49" t="s">
        <v>226</v>
      </c>
      <c r="AL9" s="43" t="n">
        <v>45661</v>
      </c>
      <c r="AM9" s="50" t="s">
        <v>227</v>
      </c>
      <c r="AN9" s="51" t="s">
        <v>156</v>
      </c>
      <c r="AO9" s="43" t="s">
        <v>157</v>
      </c>
      <c r="AP9" s="52" t="n">
        <v>0.34375</v>
      </c>
      <c r="AQ9" s="41" t="s">
        <v>123</v>
      </c>
      <c r="AR9" s="41" t="s">
        <v>124</v>
      </c>
      <c r="AS9" s="41" t="s">
        <v>125</v>
      </c>
      <c r="AT9" s="41" t="s">
        <v>126</v>
      </c>
      <c r="AU9" s="41" t="s">
        <v>127</v>
      </c>
      <c r="AV9" s="41" t="s">
        <v>128</v>
      </c>
      <c r="AW9" s="41" t="n">
        <v>3</v>
      </c>
      <c r="AX9" s="53" t="s">
        <v>158</v>
      </c>
      <c r="AY9" s="43" t="n">
        <v>45661</v>
      </c>
      <c r="AZ9" s="43" t="n">
        <v>45662</v>
      </c>
      <c r="BA9" s="41" t="s">
        <v>159</v>
      </c>
      <c r="BB9" s="41" t="s">
        <v>160</v>
      </c>
      <c r="BC9" s="53" t="s">
        <v>161</v>
      </c>
      <c r="BD9" s="43"/>
      <c r="BE9" s="43"/>
      <c r="BF9" s="41"/>
      <c r="BG9" s="41" t="s">
        <v>161</v>
      </c>
      <c r="BH9" s="53" t="s">
        <v>161</v>
      </c>
      <c r="BI9" s="44"/>
      <c r="BJ9" s="44"/>
      <c r="BK9" s="41"/>
      <c r="BL9" s="41" t="s">
        <v>161</v>
      </c>
      <c r="BM9" s="41" t="s">
        <v>135</v>
      </c>
      <c r="BN9" s="41" t="s">
        <v>162</v>
      </c>
      <c r="BO9" s="41" t="s">
        <v>135</v>
      </c>
      <c r="BP9" s="41" t="s">
        <v>163</v>
      </c>
      <c r="BQ9" s="43" t="n">
        <f aca="false">AL9</f>
        <v>45661</v>
      </c>
      <c r="BR9" s="54" t="str">
        <f aca="false">MID(AM9,7,8)</f>
        <v>18:04</v>
      </c>
      <c r="BS9" s="41" t="s">
        <v>135</v>
      </c>
      <c r="BT9" s="41" t="s">
        <v>163</v>
      </c>
      <c r="BU9" s="41" t="s">
        <v>135</v>
      </c>
      <c r="BV9" s="41" t="s">
        <v>164</v>
      </c>
      <c r="BW9" s="43" t="n">
        <f aca="false">AZ9</f>
        <v>45662</v>
      </c>
      <c r="BX9" s="54"/>
      <c r="BY9" s="41"/>
      <c r="BZ9" s="43"/>
      <c r="CA9" s="40"/>
      <c r="CB9" s="40"/>
      <c r="CC9" s="43"/>
      <c r="CD9" s="54"/>
      <c r="CE9" s="55"/>
      <c r="CF9" s="43"/>
      <c r="CG9" s="43"/>
      <c r="CH9" s="43"/>
      <c r="CI9" s="43"/>
      <c r="CJ9" s="54"/>
      <c r="CK9" s="41"/>
      <c r="CL9" s="40"/>
      <c r="CM9" s="44"/>
      <c r="CN9" s="44"/>
      <c r="CO9" s="40"/>
      <c r="CP9" s="41"/>
      <c r="CQ9" s="44"/>
      <c r="CR9" s="44"/>
      <c r="CS9" s="40"/>
      <c r="CT9" s="41"/>
      <c r="CU9" s="43"/>
      <c r="CV9" s="41"/>
    </row>
    <row r="10" s="58" customFormat="true" ht="11.25" hidden="false" customHeight="true" outlineLevel="0" collapsed="false">
      <c r="A10" s="40" t="s">
        <v>140</v>
      </c>
      <c r="B10" s="41" t="s">
        <v>108</v>
      </c>
      <c r="C10" s="42" t="s">
        <v>228</v>
      </c>
      <c r="D10" s="43"/>
      <c r="E10" s="43" t="n">
        <v>45663</v>
      </c>
      <c r="F10" s="43" t="n">
        <v>45663</v>
      </c>
      <c r="G10" s="41" t="s">
        <v>229</v>
      </c>
      <c r="H10" s="41" t="s">
        <v>141</v>
      </c>
      <c r="I10" s="41" t="s">
        <v>113</v>
      </c>
      <c r="J10" s="41" t="s">
        <v>113</v>
      </c>
      <c r="K10" s="42" t="s">
        <v>230</v>
      </c>
      <c r="L10" s="42" t="s">
        <v>231</v>
      </c>
      <c r="M10" s="40" t="s">
        <v>144</v>
      </c>
      <c r="N10" s="42" t="s">
        <v>232</v>
      </c>
      <c r="O10" s="42" t="s">
        <v>233</v>
      </c>
      <c r="P10" s="41" t="s">
        <v>234</v>
      </c>
      <c r="Q10" s="44" t="n">
        <v>33794</v>
      </c>
      <c r="R10" s="42" t="s">
        <v>146</v>
      </c>
      <c r="S10" s="42" t="s">
        <v>120</v>
      </c>
      <c r="T10" s="42"/>
      <c r="U10" s="41"/>
      <c r="V10" s="45" t="s">
        <v>235</v>
      </c>
      <c r="W10" s="43" t="n">
        <v>45661</v>
      </c>
      <c r="X10" s="43" t="s">
        <v>236</v>
      </c>
      <c r="Y10" s="45" t="s">
        <v>237</v>
      </c>
      <c r="Z10" s="43" t="n">
        <v>45661</v>
      </c>
      <c r="AA10" s="43" t="s">
        <v>238</v>
      </c>
      <c r="AB10" s="45" t="s">
        <v>153</v>
      </c>
      <c r="AC10" s="43"/>
      <c r="AD10" s="43"/>
      <c r="AE10" s="45" t="s">
        <v>153</v>
      </c>
      <c r="AF10" s="44"/>
      <c r="AG10" s="41"/>
      <c r="AH10" s="46" t="str">
        <f aca="false">AB10</f>
        <v>NO</v>
      </c>
      <c r="AI10" s="47"/>
      <c r="AJ10" s="48"/>
      <c r="AK10" s="49" t="s">
        <v>239</v>
      </c>
      <c r="AL10" s="43" t="n">
        <v>45662</v>
      </c>
      <c r="AM10" s="50" t="s">
        <v>240</v>
      </c>
      <c r="AN10" s="51" t="s">
        <v>161</v>
      </c>
      <c r="AO10" s="41"/>
      <c r="AP10" s="52"/>
      <c r="AQ10" s="41" t="s">
        <v>123</v>
      </c>
      <c r="AR10" s="41" t="s">
        <v>124</v>
      </c>
      <c r="AS10" s="41" t="s">
        <v>125</v>
      </c>
      <c r="AT10" s="41" t="s">
        <v>126</v>
      </c>
      <c r="AU10" s="41" t="s">
        <v>161</v>
      </c>
      <c r="AV10" s="41"/>
      <c r="AW10" s="41" t="n">
        <v>3</v>
      </c>
      <c r="AX10" s="53" t="s">
        <v>158</v>
      </c>
      <c r="AY10" s="43" t="n">
        <v>45662</v>
      </c>
      <c r="AZ10" s="43" t="n">
        <v>45663</v>
      </c>
      <c r="BA10" s="41" t="s">
        <v>186</v>
      </c>
      <c r="BB10" s="41" t="s">
        <v>160</v>
      </c>
      <c r="BC10" s="53" t="s">
        <v>161</v>
      </c>
      <c r="BD10" s="43"/>
      <c r="BE10" s="43"/>
      <c r="BF10" s="41"/>
      <c r="BG10" s="41" t="s">
        <v>161</v>
      </c>
      <c r="BH10" s="53" t="s">
        <v>161</v>
      </c>
      <c r="BI10" s="44"/>
      <c r="BJ10" s="44"/>
      <c r="BK10" s="41"/>
      <c r="BL10" s="41" t="s">
        <v>161</v>
      </c>
      <c r="BM10" s="41" t="s">
        <v>135</v>
      </c>
      <c r="BN10" s="41" t="s">
        <v>162</v>
      </c>
      <c r="BO10" s="41" t="s">
        <v>135</v>
      </c>
      <c r="BP10" s="41" t="s">
        <v>163</v>
      </c>
      <c r="BQ10" s="43" t="n">
        <f aca="false">AL10</f>
        <v>45662</v>
      </c>
      <c r="BR10" s="54" t="str">
        <f aca="false">MID(AM10,7,8)</f>
        <v>19:05</v>
      </c>
      <c r="BS10" s="41" t="s">
        <v>135</v>
      </c>
      <c r="BT10" s="41" t="s">
        <v>163</v>
      </c>
      <c r="BU10" s="41" t="s">
        <v>135</v>
      </c>
      <c r="BV10" s="41" t="s">
        <v>164</v>
      </c>
      <c r="BW10" s="43" t="n">
        <f aca="false">AZ10</f>
        <v>45663</v>
      </c>
      <c r="BX10" s="54"/>
      <c r="BY10" s="41"/>
      <c r="BZ10" s="43"/>
      <c r="CA10" s="40"/>
      <c r="CB10" s="40"/>
      <c r="CC10" s="60"/>
      <c r="CD10" s="54"/>
      <c r="CE10" s="55"/>
      <c r="CF10" s="43"/>
      <c r="CG10" s="43"/>
      <c r="CH10" s="43"/>
      <c r="CI10" s="43"/>
      <c r="CJ10" s="54"/>
      <c r="CK10" s="41"/>
      <c r="CL10" s="40"/>
      <c r="CM10" s="44"/>
      <c r="CN10" s="44"/>
      <c r="CO10" s="40"/>
      <c r="CP10" s="41"/>
      <c r="CQ10" s="44"/>
      <c r="CR10" s="44"/>
      <c r="CS10" s="40"/>
      <c r="CT10" s="41"/>
      <c r="CU10" s="43"/>
      <c r="CV10" s="41"/>
    </row>
    <row r="11" s="58" customFormat="true" ht="11.25" hidden="false" customHeight="true" outlineLevel="0" collapsed="false">
      <c r="A11" s="40" t="s">
        <v>140</v>
      </c>
      <c r="B11" s="41" t="s">
        <v>108</v>
      </c>
      <c r="C11" s="42" t="s">
        <v>109</v>
      </c>
      <c r="D11" s="43"/>
      <c r="E11" s="43" t="n">
        <v>45672</v>
      </c>
      <c r="F11" s="43" t="n">
        <v>45672</v>
      </c>
      <c r="G11" s="41" t="s">
        <v>111</v>
      </c>
      <c r="H11" s="41" t="s">
        <v>141</v>
      </c>
      <c r="I11" s="41" t="s">
        <v>113</v>
      </c>
      <c r="J11" s="41" t="s">
        <v>113</v>
      </c>
      <c r="K11" s="42" t="s">
        <v>241</v>
      </c>
      <c r="L11" s="42" t="s">
        <v>242</v>
      </c>
      <c r="M11" s="40" t="s">
        <v>144</v>
      </c>
      <c r="N11" s="42" t="s">
        <v>167</v>
      </c>
      <c r="O11" s="42" t="s">
        <v>168</v>
      </c>
      <c r="P11" s="41" t="s">
        <v>243</v>
      </c>
      <c r="Q11" s="44" t="n">
        <v>33386</v>
      </c>
      <c r="R11" s="42"/>
      <c r="S11" s="42"/>
      <c r="T11" s="42"/>
      <c r="U11" s="41"/>
      <c r="V11" s="45" t="s">
        <v>153</v>
      </c>
      <c r="W11" s="43"/>
      <c r="X11" s="43"/>
      <c r="Y11" s="45" t="s">
        <v>153</v>
      </c>
      <c r="Z11" s="43"/>
      <c r="AA11" s="43"/>
      <c r="AB11" s="45" t="s">
        <v>161</v>
      </c>
      <c r="AC11" s="43"/>
      <c r="AD11" s="43"/>
      <c r="AE11" s="45" t="s">
        <v>153</v>
      </c>
      <c r="AF11" s="44"/>
      <c r="AG11" s="41"/>
      <c r="AH11" s="46" t="str">
        <f aca="false">AB11</f>
        <v>NO</v>
      </c>
      <c r="AI11" s="47"/>
      <c r="AJ11" s="48"/>
      <c r="AK11" s="49" t="s">
        <v>244</v>
      </c>
      <c r="AL11" s="43" t="n">
        <v>45665</v>
      </c>
      <c r="AM11" s="50" t="s">
        <v>245</v>
      </c>
      <c r="AN11" s="51" t="s">
        <v>244</v>
      </c>
      <c r="AO11" s="43" t="n">
        <v>45665</v>
      </c>
      <c r="AP11" s="52" t="n">
        <v>0.333333333333333</v>
      </c>
      <c r="AQ11" s="41" t="s">
        <v>123</v>
      </c>
      <c r="AR11" s="41" t="s">
        <v>124</v>
      </c>
      <c r="AS11" s="41" t="s">
        <v>125</v>
      </c>
      <c r="AT11" s="41" t="s">
        <v>126</v>
      </c>
      <c r="AU11" s="41" t="s">
        <v>127</v>
      </c>
      <c r="AV11" s="41" t="s">
        <v>128</v>
      </c>
      <c r="AW11" s="41"/>
      <c r="AX11" s="53" t="s">
        <v>161</v>
      </c>
      <c r="AY11" s="43"/>
      <c r="AZ11" s="43"/>
      <c r="BA11" s="41"/>
      <c r="BB11" s="41"/>
      <c r="BC11" s="53" t="s">
        <v>246</v>
      </c>
      <c r="BD11" s="43" t="n">
        <v>45671</v>
      </c>
      <c r="BE11" s="43" t="n">
        <v>45672</v>
      </c>
      <c r="BF11" s="41" t="s">
        <v>159</v>
      </c>
      <c r="BG11" s="41" t="s">
        <v>247</v>
      </c>
      <c r="BH11" s="53" t="s">
        <v>161</v>
      </c>
      <c r="BI11" s="44"/>
      <c r="BJ11" s="44"/>
      <c r="BK11" s="41"/>
      <c r="BL11" s="41" t="s">
        <v>161</v>
      </c>
      <c r="BM11" s="41"/>
      <c r="BN11" s="41"/>
      <c r="BO11" s="41"/>
      <c r="BP11" s="41"/>
      <c r="BQ11" s="43" t="n">
        <f aca="false">AL11</f>
        <v>45665</v>
      </c>
      <c r="BR11" s="54" t="str">
        <f aca="false">MID(AM11,7,8)</f>
        <v>0:00</v>
      </c>
      <c r="BS11" s="55"/>
      <c r="BT11" s="41"/>
      <c r="BU11" s="41"/>
      <c r="BV11" s="41"/>
      <c r="BW11" s="43" t="n">
        <f aca="false">AZ11</f>
        <v>0</v>
      </c>
      <c r="BX11" s="54"/>
      <c r="BY11" s="41" t="s">
        <v>248</v>
      </c>
      <c r="BZ11" s="43" t="s">
        <v>162</v>
      </c>
      <c r="CA11" s="40" t="s">
        <v>248</v>
      </c>
      <c r="CB11" s="40" t="s">
        <v>163</v>
      </c>
      <c r="CC11" s="43" t="n">
        <f aca="false">BD11</f>
        <v>45671</v>
      </c>
      <c r="CD11" s="54" t="n">
        <v>0.385416666666667</v>
      </c>
      <c r="CE11" s="55" t="s">
        <v>248</v>
      </c>
      <c r="CF11" s="10" t="s">
        <v>163</v>
      </c>
      <c r="CG11" s="10" t="s">
        <v>248</v>
      </c>
      <c r="CH11" s="10" t="s">
        <v>164</v>
      </c>
      <c r="CI11" s="43" t="n">
        <f aca="false">BE11</f>
        <v>45672</v>
      </c>
      <c r="CJ11" s="54" t="n">
        <v>0.333333333333333</v>
      </c>
      <c r="CK11" s="41"/>
      <c r="CL11" s="40"/>
      <c r="CM11" s="44"/>
      <c r="CN11" s="44"/>
      <c r="CO11" s="40"/>
      <c r="CP11" s="41"/>
      <c r="CQ11" s="44"/>
      <c r="CR11" s="44"/>
      <c r="CS11" s="40"/>
      <c r="CT11" s="41"/>
      <c r="CU11" s="43"/>
      <c r="CV11" s="41"/>
    </row>
    <row r="12" s="58" customFormat="true" ht="11.25" hidden="false" customHeight="true" outlineLevel="0" collapsed="false">
      <c r="A12" s="40" t="s">
        <v>140</v>
      </c>
      <c r="B12" s="41" t="s">
        <v>108</v>
      </c>
      <c r="C12" s="42" t="s">
        <v>249</v>
      </c>
      <c r="D12" s="43"/>
      <c r="E12" s="43" t="n">
        <v>45670</v>
      </c>
      <c r="F12" s="43" t="n">
        <v>45670</v>
      </c>
      <c r="G12" s="41" t="s">
        <v>111</v>
      </c>
      <c r="H12" s="41" t="s">
        <v>141</v>
      </c>
      <c r="I12" s="41" t="s">
        <v>113</v>
      </c>
      <c r="J12" s="41" t="s">
        <v>113</v>
      </c>
      <c r="K12" s="42" t="s">
        <v>250</v>
      </c>
      <c r="L12" s="42" t="s">
        <v>251</v>
      </c>
      <c r="M12" s="40" t="s">
        <v>144</v>
      </c>
      <c r="N12" s="42" t="s">
        <v>145</v>
      </c>
      <c r="O12" s="42" t="s">
        <v>252</v>
      </c>
      <c r="P12" s="41" t="s">
        <v>253</v>
      </c>
      <c r="Q12" s="44" t="n">
        <v>35988</v>
      </c>
      <c r="R12" s="42" t="s">
        <v>254</v>
      </c>
      <c r="S12" s="42" t="s">
        <v>255</v>
      </c>
      <c r="T12" s="42"/>
      <c r="U12" s="41"/>
      <c r="V12" s="45" t="s">
        <v>256</v>
      </c>
      <c r="W12" s="43" t="n">
        <v>45667</v>
      </c>
      <c r="X12" s="43" t="s">
        <v>257</v>
      </c>
      <c r="Y12" s="45" t="s">
        <v>258</v>
      </c>
      <c r="Z12" s="43" t="n">
        <v>45668</v>
      </c>
      <c r="AA12" s="43" t="s">
        <v>259</v>
      </c>
      <c r="AB12" s="45" t="s">
        <v>260</v>
      </c>
      <c r="AC12" s="43" t="n">
        <v>45668</v>
      </c>
      <c r="AD12" s="43" t="s">
        <v>261</v>
      </c>
      <c r="AE12" s="45" t="s">
        <v>153</v>
      </c>
      <c r="AF12" s="44"/>
      <c r="AG12" s="41"/>
      <c r="AH12" s="46" t="str">
        <f aca="false">AB12</f>
        <v>LA8036 GRU SCL</v>
      </c>
      <c r="AI12" s="47" t="n">
        <f aca="false">AC12</f>
        <v>45668</v>
      </c>
      <c r="AJ12" s="48" t="str">
        <f aca="false">AD12</f>
        <v>13:20 17:35</v>
      </c>
      <c r="AK12" s="49" t="s">
        <v>262</v>
      </c>
      <c r="AL12" s="43" t="n">
        <v>45668</v>
      </c>
      <c r="AM12" s="50" t="s">
        <v>263</v>
      </c>
      <c r="AN12" s="51" t="s">
        <v>156</v>
      </c>
      <c r="AO12" s="43" t="n">
        <v>45670</v>
      </c>
      <c r="AP12" s="52" t="n">
        <v>0.354166666666667</v>
      </c>
      <c r="AQ12" s="41" t="s">
        <v>123</v>
      </c>
      <c r="AR12" s="41" t="s">
        <v>124</v>
      </c>
      <c r="AS12" s="41" t="s">
        <v>125</v>
      </c>
      <c r="AT12" s="41" t="s">
        <v>126</v>
      </c>
      <c r="AU12" s="41" t="s">
        <v>127</v>
      </c>
      <c r="AV12" s="41" t="s">
        <v>128</v>
      </c>
      <c r="AW12" s="41" t="n">
        <v>3</v>
      </c>
      <c r="AX12" s="53" t="s">
        <v>158</v>
      </c>
      <c r="AY12" s="43" t="n">
        <v>45668</v>
      </c>
      <c r="AZ12" s="43" t="n">
        <v>45670</v>
      </c>
      <c r="BA12" s="41" t="s">
        <v>159</v>
      </c>
      <c r="BB12" s="41" t="s">
        <v>160</v>
      </c>
      <c r="BC12" s="53" t="s">
        <v>161</v>
      </c>
      <c r="BD12" s="43"/>
      <c r="BE12" s="43"/>
      <c r="BF12" s="41"/>
      <c r="BG12" s="41" t="s">
        <v>161</v>
      </c>
      <c r="BH12" s="53" t="s">
        <v>161</v>
      </c>
      <c r="BI12" s="44"/>
      <c r="BJ12" s="44"/>
      <c r="BK12" s="41"/>
      <c r="BL12" s="41" t="s">
        <v>161</v>
      </c>
      <c r="BM12" s="41" t="s">
        <v>135</v>
      </c>
      <c r="BN12" s="41" t="s">
        <v>162</v>
      </c>
      <c r="BO12" s="41" t="s">
        <v>135</v>
      </c>
      <c r="BP12" s="41" t="s">
        <v>163</v>
      </c>
      <c r="BQ12" s="43" t="n">
        <v>45669</v>
      </c>
      <c r="BR12" s="54" t="n">
        <v>0.134722222222222</v>
      </c>
      <c r="BS12" s="41" t="s">
        <v>135</v>
      </c>
      <c r="BT12" s="41" t="s">
        <v>163</v>
      </c>
      <c r="BU12" s="41" t="s">
        <v>135</v>
      </c>
      <c r="BV12" s="41" t="s">
        <v>164</v>
      </c>
      <c r="BW12" s="43" t="n">
        <f aca="false">AZ12</f>
        <v>45670</v>
      </c>
      <c r="BX12" s="54"/>
      <c r="BY12" s="41" t="s">
        <v>161</v>
      </c>
      <c r="BZ12" s="43"/>
      <c r="CA12" s="40"/>
      <c r="CB12" s="40"/>
      <c r="CC12" s="43"/>
      <c r="CD12" s="54"/>
      <c r="CE12" s="55" t="s">
        <v>161</v>
      </c>
      <c r="CF12" s="43"/>
      <c r="CG12" s="43"/>
      <c r="CH12" s="43"/>
      <c r="CI12" s="43"/>
      <c r="CJ12" s="54"/>
      <c r="CK12" s="41"/>
      <c r="CL12" s="40"/>
      <c r="CM12" s="44"/>
      <c r="CN12" s="44"/>
      <c r="CO12" s="40"/>
      <c r="CP12" s="41"/>
      <c r="CQ12" s="44"/>
      <c r="CR12" s="44"/>
      <c r="CS12" s="40"/>
      <c r="CT12" s="41"/>
      <c r="CU12" s="43"/>
      <c r="CV12" s="41"/>
    </row>
    <row r="13" s="58" customFormat="true" ht="11.25" hidden="false" customHeight="true" outlineLevel="0" collapsed="false">
      <c r="A13" s="40" t="s">
        <v>140</v>
      </c>
      <c r="B13" s="41" t="s">
        <v>108</v>
      </c>
      <c r="C13" s="42" t="s">
        <v>249</v>
      </c>
      <c r="D13" s="43"/>
      <c r="E13" s="43" t="n">
        <v>45670</v>
      </c>
      <c r="F13" s="43" t="n">
        <v>45670</v>
      </c>
      <c r="G13" s="41" t="s">
        <v>111</v>
      </c>
      <c r="H13" s="41" t="s">
        <v>141</v>
      </c>
      <c r="I13" s="41" t="s">
        <v>113</v>
      </c>
      <c r="J13" s="41" t="s">
        <v>113</v>
      </c>
      <c r="K13" s="42" t="s">
        <v>264</v>
      </c>
      <c r="L13" s="42" t="s">
        <v>265</v>
      </c>
      <c r="M13" s="40" t="s">
        <v>144</v>
      </c>
      <c r="N13" s="42" t="s">
        <v>145</v>
      </c>
      <c r="O13" s="42" t="s">
        <v>266</v>
      </c>
      <c r="P13" s="41" t="s">
        <v>267</v>
      </c>
      <c r="Q13" s="44" t="n">
        <v>29371</v>
      </c>
      <c r="R13" s="42" t="s">
        <v>268</v>
      </c>
      <c r="S13" s="42" t="s">
        <v>120</v>
      </c>
      <c r="T13" s="42"/>
      <c r="U13" s="41"/>
      <c r="V13" s="45" t="s">
        <v>256</v>
      </c>
      <c r="W13" s="43" t="n">
        <v>45667</v>
      </c>
      <c r="X13" s="43" t="s">
        <v>257</v>
      </c>
      <c r="Y13" s="45" t="s">
        <v>258</v>
      </c>
      <c r="Z13" s="43" t="n">
        <v>45668</v>
      </c>
      <c r="AA13" s="43" t="s">
        <v>259</v>
      </c>
      <c r="AB13" s="45" t="s">
        <v>260</v>
      </c>
      <c r="AC13" s="43" t="n">
        <v>45668</v>
      </c>
      <c r="AD13" s="43" t="s">
        <v>261</v>
      </c>
      <c r="AE13" s="45" t="s">
        <v>153</v>
      </c>
      <c r="AF13" s="44"/>
      <c r="AG13" s="41"/>
      <c r="AH13" s="46" t="str">
        <f aca="false">AB13</f>
        <v>LA8036 GRU SCL</v>
      </c>
      <c r="AI13" s="47" t="n">
        <f aca="false">AC13</f>
        <v>45668</v>
      </c>
      <c r="AJ13" s="48" t="str">
        <f aca="false">AD13</f>
        <v>13:20 17:35</v>
      </c>
      <c r="AK13" s="49" t="s">
        <v>262</v>
      </c>
      <c r="AL13" s="43" t="n">
        <v>45668</v>
      </c>
      <c r="AM13" s="50" t="s">
        <v>263</v>
      </c>
      <c r="AN13" s="51" t="s">
        <v>156</v>
      </c>
      <c r="AO13" s="43" t="n">
        <v>45670</v>
      </c>
      <c r="AP13" s="52" t="n">
        <v>0.354166666666667</v>
      </c>
      <c r="AQ13" s="41" t="s">
        <v>123</v>
      </c>
      <c r="AR13" s="41" t="s">
        <v>124</v>
      </c>
      <c r="AS13" s="41" t="s">
        <v>125</v>
      </c>
      <c r="AT13" s="41" t="s">
        <v>126</v>
      </c>
      <c r="AU13" s="41" t="s">
        <v>127</v>
      </c>
      <c r="AV13" s="41" t="s">
        <v>128</v>
      </c>
      <c r="AW13" s="41" t="n">
        <v>3</v>
      </c>
      <c r="AX13" s="53" t="s">
        <v>158</v>
      </c>
      <c r="AY13" s="43" t="n">
        <v>45668</v>
      </c>
      <c r="AZ13" s="43" t="n">
        <v>45670</v>
      </c>
      <c r="BA13" s="41" t="s">
        <v>159</v>
      </c>
      <c r="BB13" s="41" t="s">
        <v>160</v>
      </c>
      <c r="BC13" s="53" t="s">
        <v>161</v>
      </c>
      <c r="BD13" s="43"/>
      <c r="BE13" s="43"/>
      <c r="BF13" s="41"/>
      <c r="BG13" s="41" t="s">
        <v>161</v>
      </c>
      <c r="BH13" s="53" t="s">
        <v>161</v>
      </c>
      <c r="BI13" s="44"/>
      <c r="BJ13" s="44"/>
      <c r="BK13" s="41"/>
      <c r="BL13" s="41" t="s">
        <v>161</v>
      </c>
      <c r="BM13" s="41" t="s">
        <v>135</v>
      </c>
      <c r="BN13" s="41" t="s">
        <v>269</v>
      </c>
      <c r="BO13" s="41" t="s">
        <v>135</v>
      </c>
      <c r="BP13" s="41" t="s">
        <v>163</v>
      </c>
      <c r="BQ13" s="43" t="n">
        <v>45669</v>
      </c>
      <c r="BR13" s="54" t="n">
        <v>0.134722222222222</v>
      </c>
      <c r="BS13" s="41" t="s">
        <v>135</v>
      </c>
      <c r="BT13" s="41" t="s">
        <v>163</v>
      </c>
      <c r="BU13" s="41" t="s">
        <v>135</v>
      </c>
      <c r="BV13" s="41" t="s">
        <v>164</v>
      </c>
      <c r="BW13" s="43" t="n">
        <f aca="false">AZ13</f>
        <v>45670</v>
      </c>
      <c r="BX13" s="54"/>
      <c r="BY13" s="41" t="s">
        <v>161</v>
      </c>
      <c r="BZ13" s="43"/>
      <c r="CA13" s="40"/>
      <c r="CB13" s="40"/>
      <c r="CC13" s="43"/>
      <c r="CD13" s="54"/>
      <c r="CE13" s="55" t="s">
        <v>161</v>
      </c>
      <c r="CF13" s="43"/>
      <c r="CG13" s="43"/>
      <c r="CH13" s="43"/>
      <c r="CI13" s="43"/>
      <c r="CJ13" s="54"/>
      <c r="CK13" s="41"/>
      <c r="CL13" s="40"/>
      <c r="CM13" s="44"/>
      <c r="CN13" s="44"/>
      <c r="CO13" s="40"/>
      <c r="CP13" s="41"/>
      <c r="CQ13" s="41"/>
      <c r="CR13" s="41"/>
      <c r="CS13" s="40"/>
      <c r="CT13" s="41"/>
      <c r="CU13" s="43"/>
      <c r="CV13" s="41"/>
    </row>
    <row r="14" s="58" customFormat="true" ht="11.25" hidden="false" customHeight="true" outlineLevel="0" collapsed="false">
      <c r="A14" s="40" t="s">
        <v>140</v>
      </c>
      <c r="B14" s="41" t="s">
        <v>108</v>
      </c>
      <c r="C14" s="42" t="s">
        <v>249</v>
      </c>
      <c r="D14" s="43"/>
      <c r="E14" s="43" t="n">
        <v>45670</v>
      </c>
      <c r="F14" s="43" t="n">
        <v>45670</v>
      </c>
      <c r="G14" s="41" t="s">
        <v>111</v>
      </c>
      <c r="H14" s="41" t="s">
        <v>141</v>
      </c>
      <c r="I14" s="41" t="s">
        <v>113</v>
      </c>
      <c r="J14" s="41" t="s">
        <v>113</v>
      </c>
      <c r="K14" s="42" t="s">
        <v>270</v>
      </c>
      <c r="L14" s="42" t="s">
        <v>271</v>
      </c>
      <c r="M14" s="40" t="s">
        <v>144</v>
      </c>
      <c r="N14" s="42" t="s">
        <v>145</v>
      </c>
      <c r="O14" s="42" t="s">
        <v>272</v>
      </c>
      <c r="P14" s="41" t="s">
        <v>273</v>
      </c>
      <c r="Q14" s="44" t="n">
        <v>32894</v>
      </c>
      <c r="R14" s="42" t="s">
        <v>268</v>
      </c>
      <c r="S14" s="42" t="s">
        <v>120</v>
      </c>
      <c r="T14" s="42"/>
      <c r="U14" s="41"/>
      <c r="V14" s="45" t="s">
        <v>274</v>
      </c>
      <c r="W14" s="43" t="n">
        <v>45667</v>
      </c>
      <c r="X14" s="43" t="s">
        <v>275</v>
      </c>
      <c r="Y14" s="45" t="s">
        <v>276</v>
      </c>
      <c r="Z14" s="43" t="n">
        <v>45668</v>
      </c>
      <c r="AA14" s="43" t="s">
        <v>277</v>
      </c>
      <c r="AB14" s="45" t="s">
        <v>278</v>
      </c>
      <c r="AC14" s="43" t="n">
        <v>45668</v>
      </c>
      <c r="AD14" s="43" t="s">
        <v>279</v>
      </c>
      <c r="AE14" s="45" t="s">
        <v>153</v>
      </c>
      <c r="AF14" s="44"/>
      <c r="AG14" s="41"/>
      <c r="AH14" s="46" t="str">
        <f aca="false">AB14</f>
        <v>QF3877 AKL SCL</v>
      </c>
      <c r="AI14" s="47" t="n">
        <f aca="false">AC14</f>
        <v>45668</v>
      </c>
      <c r="AJ14" s="48" t="str">
        <f aca="false">AD14</f>
        <v>19:05 14:10</v>
      </c>
      <c r="AK14" s="49" t="s">
        <v>280</v>
      </c>
      <c r="AL14" s="43" t="n">
        <v>45668</v>
      </c>
      <c r="AM14" s="50" t="s">
        <v>281</v>
      </c>
      <c r="AN14" s="51" t="s">
        <v>156</v>
      </c>
      <c r="AO14" s="43" t="n">
        <v>45670</v>
      </c>
      <c r="AP14" s="52" t="n">
        <v>0.354166666666667</v>
      </c>
      <c r="AQ14" s="41" t="s">
        <v>123</v>
      </c>
      <c r="AR14" s="41" t="s">
        <v>124</v>
      </c>
      <c r="AS14" s="41" t="s">
        <v>125</v>
      </c>
      <c r="AT14" s="41" t="s">
        <v>126</v>
      </c>
      <c r="AU14" s="41" t="s">
        <v>127</v>
      </c>
      <c r="AV14" s="41" t="s">
        <v>128</v>
      </c>
      <c r="AW14" s="41" t="n">
        <v>3</v>
      </c>
      <c r="AX14" s="53" t="s">
        <v>158</v>
      </c>
      <c r="AY14" s="43" t="n">
        <v>45668</v>
      </c>
      <c r="AZ14" s="43" t="n">
        <v>45670</v>
      </c>
      <c r="BA14" s="41" t="s">
        <v>159</v>
      </c>
      <c r="BB14" s="41" t="s">
        <v>160</v>
      </c>
      <c r="BC14" s="53" t="s">
        <v>161</v>
      </c>
      <c r="BD14" s="43"/>
      <c r="BE14" s="43"/>
      <c r="BF14" s="41"/>
      <c r="BG14" s="41" t="s">
        <v>161</v>
      </c>
      <c r="BH14" s="53" t="s">
        <v>161</v>
      </c>
      <c r="BI14" s="44"/>
      <c r="BJ14" s="44"/>
      <c r="BK14" s="41"/>
      <c r="BL14" s="41" t="s">
        <v>161</v>
      </c>
      <c r="BM14" s="41" t="s">
        <v>135</v>
      </c>
      <c r="BN14" s="41" t="s">
        <v>269</v>
      </c>
      <c r="BO14" s="41" t="s">
        <v>135</v>
      </c>
      <c r="BP14" s="41" t="s">
        <v>163</v>
      </c>
      <c r="BQ14" s="43" t="n">
        <f aca="false">AL14</f>
        <v>45668</v>
      </c>
      <c r="BR14" s="54" t="str">
        <f aca="false">MID(AM14,7,8)</f>
        <v>23:07</v>
      </c>
      <c r="BS14" s="41" t="s">
        <v>135</v>
      </c>
      <c r="BT14" s="41" t="s">
        <v>163</v>
      </c>
      <c r="BU14" s="41" t="s">
        <v>135</v>
      </c>
      <c r="BV14" s="41" t="s">
        <v>164</v>
      </c>
      <c r="BW14" s="43" t="n">
        <f aca="false">AZ14</f>
        <v>45670</v>
      </c>
      <c r="BX14" s="54"/>
      <c r="BY14" s="41" t="s">
        <v>161</v>
      </c>
      <c r="BZ14" s="43"/>
      <c r="CA14" s="40"/>
      <c r="CB14" s="40"/>
      <c r="CC14" s="43"/>
      <c r="CD14" s="54"/>
      <c r="CE14" s="55" t="s">
        <v>161</v>
      </c>
      <c r="CF14" s="43"/>
      <c r="CG14" s="43"/>
      <c r="CH14" s="43"/>
      <c r="CI14" s="43"/>
      <c r="CJ14" s="54"/>
      <c r="CK14" s="41"/>
      <c r="CL14" s="40"/>
      <c r="CM14" s="44"/>
      <c r="CN14" s="44"/>
      <c r="CO14" s="40"/>
      <c r="CP14" s="41"/>
      <c r="CQ14" s="44"/>
      <c r="CR14" s="44"/>
      <c r="CS14" s="40"/>
      <c r="CT14" s="41"/>
      <c r="CU14" s="43"/>
      <c r="CV14" s="41"/>
    </row>
    <row r="15" s="58" customFormat="true" ht="11.25" hidden="false" customHeight="true" outlineLevel="0" collapsed="false">
      <c r="A15" s="40" t="s">
        <v>140</v>
      </c>
      <c r="B15" s="41" t="s">
        <v>108</v>
      </c>
      <c r="C15" s="42" t="s">
        <v>249</v>
      </c>
      <c r="D15" s="43"/>
      <c r="E15" s="43" t="n">
        <v>45670</v>
      </c>
      <c r="F15" s="43" t="n">
        <v>45670</v>
      </c>
      <c r="G15" s="41" t="s">
        <v>111</v>
      </c>
      <c r="H15" s="41" t="s">
        <v>141</v>
      </c>
      <c r="I15" s="41" t="s">
        <v>113</v>
      </c>
      <c r="J15" s="41" t="s">
        <v>113</v>
      </c>
      <c r="K15" s="42" t="s">
        <v>282</v>
      </c>
      <c r="L15" s="42" t="s">
        <v>283</v>
      </c>
      <c r="M15" s="40" t="s">
        <v>144</v>
      </c>
      <c r="N15" s="42" t="s">
        <v>145</v>
      </c>
      <c r="O15" s="42" t="s">
        <v>284</v>
      </c>
      <c r="P15" s="41" t="s">
        <v>285</v>
      </c>
      <c r="Q15" s="44" t="n">
        <v>32113</v>
      </c>
      <c r="R15" s="42" t="s">
        <v>268</v>
      </c>
      <c r="S15" s="42" t="s">
        <v>120</v>
      </c>
      <c r="T15" s="42"/>
      <c r="U15" s="41"/>
      <c r="V15" s="45" t="s">
        <v>274</v>
      </c>
      <c r="W15" s="43" t="n">
        <v>45667</v>
      </c>
      <c r="X15" s="43" t="s">
        <v>275</v>
      </c>
      <c r="Y15" s="45" t="s">
        <v>276</v>
      </c>
      <c r="Z15" s="43" t="n">
        <v>45668</v>
      </c>
      <c r="AA15" s="43" t="s">
        <v>277</v>
      </c>
      <c r="AB15" s="45" t="s">
        <v>278</v>
      </c>
      <c r="AC15" s="43" t="n">
        <v>45668</v>
      </c>
      <c r="AD15" s="43" t="s">
        <v>279</v>
      </c>
      <c r="AE15" s="45" t="s">
        <v>153</v>
      </c>
      <c r="AF15" s="44"/>
      <c r="AG15" s="41"/>
      <c r="AH15" s="46" t="str">
        <f aca="false">AB15</f>
        <v>QF3877 AKL SCL</v>
      </c>
      <c r="AI15" s="47" t="n">
        <f aca="false">AC15</f>
        <v>45668</v>
      </c>
      <c r="AJ15" s="48" t="str">
        <f aca="false">AD15</f>
        <v>19:05 14:10</v>
      </c>
      <c r="AK15" s="49" t="s">
        <v>280</v>
      </c>
      <c r="AL15" s="43" t="n">
        <v>45668</v>
      </c>
      <c r="AM15" s="50" t="s">
        <v>281</v>
      </c>
      <c r="AN15" s="51" t="s">
        <v>156</v>
      </c>
      <c r="AO15" s="43" t="n">
        <v>45670</v>
      </c>
      <c r="AP15" s="52" t="n">
        <v>0.354166666666667</v>
      </c>
      <c r="AQ15" s="41" t="s">
        <v>123</v>
      </c>
      <c r="AR15" s="41" t="s">
        <v>124</v>
      </c>
      <c r="AS15" s="41" t="s">
        <v>125</v>
      </c>
      <c r="AT15" s="41" t="s">
        <v>126</v>
      </c>
      <c r="AU15" s="41" t="s">
        <v>127</v>
      </c>
      <c r="AV15" s="41" t="s">
        <v>128</v>
      </c>
      <c r="AW15" s="41" t="n">
        <v>3</v>
      </c>
      <c r="AX15" s="53" t="s">
        <v>158</v>
      </c>
      <c r="AY15" s="43" t="n">
        <v>45668</v>
      </c>
      <c r="AZ15" s="43" t="n">
        <v>45670</v>
      </c>
      <c r="BA15" s="41" t="s">
        <v>159</v>
      </c>
      <c r="BB15" s="41" t="s">
        <v>160</v>
      </c>
      <c r="BC15" s="53" t="s">
        <v>161</v>
      </c>
      <c r="BD15" s="43"/>
      <c r="BE15" s="43"/>
      <c r="BF15" s="41"/>
      <c r="BG15" s="41" t="s">
        <v>161</v>
      </c>
      <c r="BH15" s="53" t="s">
        <v>161</v>
      </c>
      <c r="BI15" s="44"/>
      <c r="BJ15" s="44"/>
      <c r="BK15" s="41"/>
      <c r="BL15" s="41" t="s">
        <v>161</v>
      </c>
      <c r="BM15" s="41" t="s">
        <v>135</v>
      </c>
      <c r="BN15" s="41" t="s">
        <v>269</v>
      </c>
      <c r="BO15" s="41" t="s">
        <v>135</v>
      </c>
      <c r="BP15" s="41" t="s">
        <v>163</v>
      </c>
      <c r="BQ15" s="43" t="n">
        <f aca="false">AL15</f>
        <v>45668</v>
      </c>
      <c r="BR15" s="54" t="str">
        <f aca="false">MID(AM15,7,8)</f>
        <v>23:07</v>
      </c>
      <c r="BS15" s="41" t="s">
        <v>135</v>
      </c>
      <c r="BT15" s="41" t="s">
        <v>163</v>
      </c>
      <c r="BU15" s="41" t="s">
        <v>135</v>
      </c>
      <c r="BV15" s="41" t="s">
        <v>164</v>
      </c>
      <c r="BW15" s="43" t="n">
        <f aca="false">AZ15</f>
        <v>45670</v>
      </c>
      <c r="BX15" s="54"/>
      <c r="BY15" s="41" t="s">
        <v>161</v>
      </c>
      <c r="BZ15" s="43"/>
      <c r="CA15" s="40"/>
      <c r="CB15" s="40"/>
      <c r="CC15" s="43"/>
      <c r="CD15" s="54"/>
      <c r="CE15" s="55" t="s">
        <v>161</v>
      </c>
      <c r="CF15" s="43"/>
      <c r="CG15" s="43"/>
      <c r="CH15" s="43"/>
      <c r="CI15" s="43"/>
      <c r="CJ15" s="54"/>
      <c r="CK15" s="41"/>
      <c r="CL15" s="40"/>
      <c r="CM15" s="44"/>
      <c r="CN15" s="44"/>
      <c r="CO15" s="40"/>
      <c r="CP15" s="41"/>
      <c r="CQ15" s="44"/>
      <c r="CR15" s="44"/>
      <c r="CS15" s="40"/>
      <c r="CT15" s="41"/>
      <c r="CU15" s="43"/>
      <c r="CV15" s="41"/>
    </row>
    <row r="16" s="58" customFormat="true" ht="11.25" hidden="false" customHeight="true" outlineLevel="0" collapsed="false">
      <c r="A16" s="40" t="s">
        <v>140</v>
      </c>
      <c r="B16" s="41" t="s">
        <v>108</v>
      </c>
      <c r="C16" s="42" t="s">
        <v>249</v>
      </c>
      <c r="D16" s="43"/>
      <c r="E16" s="43" t="n">
        <v>45670</v>
      </c>
      <c r="F16" s="43" t="n">
        <v>45670</v>
      </c>
      <c r="G16" s="41" t="s">
        <v>111</v>
      </c>
      <c r="H16" s="41" t="s">
        <v>141</v>
      </c>
      <c r="I16" s="41" t="s">
        <v>113</v>
      </c>
      <c r="J16" s="41" t="s">
        <v>113</v>
      </c>
      <c r="K16" s="42" t="s">
        <v>286</v>
      </c>
      <c r="L16" s="42" t="s">
        <v>287</v>
      </c>
      <c r="M16" s="40" t="s">
        <v>144</v>
      </c>
      <c r="N16" s="42" t="s">
        <v>145</v>
      </c>
      <c r="O16" s="42" t="s">
        <v>288</v>
      </c>
      <c r="P16" s="41" t="s">
        <v>289</v>
      </c>
      <c r="Q16" s="44" t="n">
        <v>35754</v>
      </c>
      <c r="R16" s="42" t="s">
        <v>254</v>
      </c>
      <c r="S16" s="42" t="s">
        <v>255</v>
      </c>
      <c r="T16" s="42"/>
      <c r="U16" s="41"/>
      <c r="V16" s="45" t="s">
        <v>256</v>
      </c>
      <c r="W16" s="43" t="n">
        <v>45667</v>
      </c>
      <c r="X16" s="43" t="s">
        <v>257</v>
      </c>
      <c r="Y16" s="45" t="s">
        <v>258</v>
      </c>
      <c r="Z16" s="43" t="n">
        <v>45668</v>
      </c>
      <c r="AA16" s="43" t="s">
        <v>259</v>
      </c>
      <c r="AB16" s="45" t="s">
        <v>260</v>
      </c>
      <c r="AC16" s="43" t="n">
        <v>45668</v>
      </c>
      <c r="AD16" s="43" t="s">
        <v>261</v>
      </c>
      <c r="AE16" s="45" t="s">
        <v>153</v>
      </c>
      <c r="AF16" s="44"/>
      <c r="AG16" s="41"/>
      <c r="AH16" s="46" t="str">
        <f aca="false">AB16</f>
        <v>LA8036 GRU SCL</v>
      </c>
      <c r="AI16" s="47" t="n">
        <f aca="false">AC16</f>
        <v>45668</v>
      </c>
      <c r="AJ16" s="48" t="str">
        <f aca="false">AD16</f>
        <v>13:20 17:35</v>
      </c>
      <c r="AK16" s="49" t="s">
        <v>262</v>
      </c>
      <c r="AL16" s="43" t="n">
        <v>45668</v>
      </c>
      <c r="AM16" s="50" t="s">
        <v>263</v>
      </c>
      <c r="AN16" s="51" t="s">
        <v>156</v>
      </c>
      <c r="AO16" s="43" t="n">
        <v>45670</v>
      </c>
      <c r="AP16" s="52" t="n">
        <v>0.354166666666667</v>
      </c>
      <c r="AQ16" s="41" t="s">
        <v>123</v>
      </c>
      <c r="AR16" s="41" t="s">
        <v>124</v>
      </c>
      <c r="AS16" s="41" t="s">
        <v>125</v>
      </c>
      <c r="AT16" s="41" t="s">
        <v>126</v>
      </c>
      <c r="AU16" s="41" t="s">
        <v>127</v>
      </c>
      <c r="AV16" s="41" t="s">
        <v>128</v>
      </c>
      <c r="AW16" s="41" t="n">
        <v>3</v>
      </c>
      <c r="AX16" s="53" t="s">
        <v>158</v>
      </c>
      <c r="AY16" s="43" t="n">
        <v>45668</v>
      </c>
      <c r="AZ16" s="43" t="n">
        <v>45670</v>
      </c>
      <c r="BA16" s="41" t="s">
        <v>159</v>
      </c>
      <c r="BB16" s="41" t="s">
        <v>290</v>
      </c>
      <c r="BC16" s="53" t="s">
        <v>161</v>
      </c>
      <c r="BD16" s="43"/>
      <c r="BE16" s="43"/>
      <c r="BF16" s="41"/>
      <c r="BG16" s="41" t="s">
        <v>161</v>
      </c>
      <c r="BH16" s="53" t="s">
        <v>161</v>
      </c>
      <c r="BI16" s="44"/>
      <c r="BJ16" s="44"/>
      <c r="BK16" s="41"/>
      <c r="BL16" s="41" t="s">
        <v>161</v>
      </c>
      <c r="BM16" s="41" t="s">
        <v>135</v>
      </c>
      <c r="BN16" s="41" t="s">
        <v>269</v>
      </c>
      <c r="BO16" s="41" t="s">
        <v>135</v>
      </c>
      <c r="BP16" s="41" t="s">
        <v>163</v>
      </c>
      <c r="BQ16" s="43" t="n">
        <v>45669</v>
      </c>
      <c r="BR16" s="54" t="n">
        <v>0.134722222222222</v>
      </c>
      <c r="BS16" s="41" t="s">
        <v>135</v>
      </c>
      <c r="BT16" s="41" t="s">
        <v>163</v>
      </c>
      <c r="BU16" s="41" t="s">
        <v>135</v>
      </c>
      <c r="BV16" s="41" t="s">
        <v>164</v>
      </c>
      <c r="BW16" s="43" t="n">
        <f aca="false">AZ16</f>
        <v>45670</v>
      </c>
      <c r="BX16" s="54"/>
      <c r="BY16" s="41" t="s">
        <v>161</v>
      </c>
      <c r="BZ16" s="43"/>
      <c r="CA16" s="40"/>
      <c r="CB16" s="40"/>
      <c r="CC16" s="43"/>
      <c r="CD16" s="54"/>
      <c r="CE16" s="55" t="s">
        <v>161</v>
      </c>
      <c r="CF16" s="43"/>
      <c r="CG16" s="43"/>
      <c r="CH16" s="43"/>
      <c r="CI16" s="43"/>
      <c r="CJ16" s="54"/>
      <c r="CK16" s="41"/>
      <c r="CL16" s="40"/>
      <c r="CM16" s="44"/>
      <c r="CN16" s="44"/>
      <c r="CO16" s="40"/>
      <c r="CP16" s="41"/>
      <c r="CQ16" s="44"/>
      <c r="CR16" s="44"/>
      <c r="CS16" s="40"/>
      <c r="CT16" s="41"/>
      <c r="CU16" s="43"/>
      <c r="CV16" s="41"/>
    </row>
    <row r="17" s="58" customFormat="true" ht="11.25" hidden="false" customHeight="true" outlineLevel="0" collapsed="false">
      <c r="A17" s="40" t="s">
        <v>140</v>
      </c>
      <c r="B17" s="41" t="s">
        <v>108</v>
      </c>
      <c r="C17" s="42" t="s">
        <v>249</v>
      </c>
      <c r="D17" s="43"/>
      <c r="E17" s="43" t="n">
        <v>45670</v>
      </c>
      <c r="F17" s="43" t="n">
        <v>45670</v>
      </c>
      <c r="G17" s="41" t="s">
        <v>111</v>
      </c>
      <c r="H17" s="41" t="s">
        <v>141</v>
      </c>
      <c r="I17" s="41" t="s">
        <v>113</v>
      </c>
      <c r="J17" s="41" t="s">
        <v>113</v>
      </c>
      <c r="K17" s="42" t="s">
        <v>291</v>
      </c>
      <c r="L17" s="42" t="s">
        <v>292</v>
      </c>
      <c r="M17" s="40" t="s">
        <v>144</v>
      </c>
      <c r="N17" s="42" t="s">
        <v>145</v>
      </c>
      <c r="O17" s="42" t="s">
        <v>200</v>
      </c>
      <c r="P17" s="41" t="s">
        <v>293</v>
      </c>
      <c r="Q17" s="44" t="n">
        <v>33264</v>
      </c>
      <c r="R17" s="42" t="s">
        <v>268</v>
      </c>
      <c r="S17" s="42" t="s">
        <v>120</v>
      </c>
      <c r="T17" s="42"/>
      <c r="U17" s="41"/>
      <c r="V17" s="45" t="s">
        <v>274</v>
      </c>
      <c r="W17" s="43" t="n">
        <v>45667</v>
      </c>
      <c r="X17" s="43" t="s">
        <v>275</v>
      </c>
      <c r="Y17" s="45" t="s">
        <v>276</v>
      </c>
      <c r="Z17" s="43" t="n">
        <v>45668</v>
      </c>
      <c r="AA17" s="43" t="s">
        <v>277</v>
      </c>
      <c r="AB17" s="45" t="s">
        <v>278</v>
      </c>
      <c r="AC17" s="43" t="n">
        <v>45668</v>
      </c>
      <c r="AD17" s="43" t="s">
        <v>279</v>
      </c>
      <c r="AE17" s="45" t="s">
        <v>153</v>
      </c>
      <c r="AF17" s="44"/>
      <c r="AG17" s="41"/>
      <c r="AH17" s="46" t="str">
        <f aca="false">AB17</f>
        <v>QF3877 AKL SCL</v>
      </c>
      <c r="AI17" s="47" t="n">
        <f aca="false">AC17</f>
        <v>45668</v>
      </c>
      <c r="AJ17" s="48" t="str">
        <f aca="false">AD17</f>
        <v>19:05 14:10</v>
      </c>
      <c r="AK17" s="49" t="s">
        <v>280</v>
      </c>
      <c r="AL17" s="43" t="n">
        <v>45668</v>
      </c>
      <c r="AM17" s="50" t="s">
        <v>281</v>
      </c>
      <c r="AN17" s="51" t="s">
        <v>156</v>
      </c>
      <c r="AO17" s="43" t="n">
        <v>45670</v>
      </c>
      <c r="AP17" s="52" t="n">
        <v>0.354166666666667</v>
      </c>
      <c r="AQ17" s="41" t="s">
        <v>123</v>
      </c>
      <c r="AR17" s="41" t="s">
        <v>124</v>
      </c>
      <c r="AS17" s="41" t="s">
        <v>125</v>
      </c>
      <c r="AT17" s="41" t="s">
        <v>126</v>
      </c>
      <c r="AU17" s="41" t="s">
        <v>127</v>
      </c>
      <c r="AV17" s="41" t="s">
        <v>128</v>
      </c>
      <c r="AW17" s="41" t="n">
        <v>3</v>
      </c>
      <c r="AX17" s="53" t="s">
        <v>158</v>
      </c>
      <c r="AY17" s="43" t="n">
        <v>45668</v>
      </c>
      <c r="AZ17" s="43" t="n">
        <v>45670</v>
      </c>
      <c r="BA17" s="41" t="s">
        <v>159</v>
      </c>
      <c r="BB17" s="41" t="s">
        <v>160</v>
      </c>
      <c r="BC17" s="53" t="s">
        <v>161</v>
      </c>
      <c r="BD17" s="43"/>
      <c r="BE17" s="43"/>
      <c r="BF17" s="41"/>
      <c r="BG17" s="41" t="s">
        <v>161</v>
      </c>
      <c r="BH17" s="53" t="s">
        <v>161</v>
      </c>
      <c r="BI17" s="44"/>
      <c r="BJ17" s="44"/>
      <c r="BK17" s="41"/>
      <c r="BL17" s="41" t="s">
        <v>161</v>
      </c>
      <c r="BM17" s="41" t="s">
        <v>135</v>
      </c>
      <c r="BN17" s="41" t="s">
        <v>269</v>
      </c>
      <c r="BO17" s="41" t="s">
        <v>135</v>
      </c>
      <c r="BP17" s="41" t="s">
        <v>163</v>
      </c>
      <c r="BQ17" s="43" t="n">
        <f aca="false">AL17</f>
        <v>45668</v>
      </c>
      <c r="BR17" s="54" t="str">
        <f aca="false">MID(AM17,7,8)</f>
        <v>23:07</v>
      </c>
      <c r="BS17" s="41" t="s">
        <v>135</v>
      </c>
      <c r="BT17" s="41" t="s">
        <v>163</v>
      </c>
      <c r="BU17" s="41" t="s">
        <v>135</v>
      </c>
      <c r="BV17" s="41" t="s">
        <v>164</v>
      </c>
      <c r="BW17" s="43" t="n">
        <f aca="false">AZ17</f>
        <v>45670</v>
      </c>
      <c r="BX17" s="54"/>
      <c r="BY17" s="41" t="s">
        <v>161</v>
      </c>
      <c r="BZ17" s="43"/>
      <c r="CA17" s="40"/>
      <c r="CB17" s="40"/>
      <c r="CC17" s="43"/>
      <c r="CD17" s="54"/>
      <c r="CE17" s="55" t="s">
        <v>161</v>
      </c>
      <c r="CF17" s="43"/>
      <c r="CG17" s="43"/>
      <c r="CH17" s="43"/>
      <c r="CI17" s="43"/>
      <c r="CJ17" s="54"/>
      <c r="CK17" s="41"/>
      <c r="CL17" s="40"/>
      <c r="CM17" s="44"/>
      <c r="CN17" s="44"/>
      <c r="CO17" s="40"/>
      <c r="CP17" s="41"/>
      <c r="CQ17" s="44"/>
      <c r="CR17" s="44"/>
      <c r="CS17" s="40"/>
      <c r="CT17" s="41"/>
      <c r="CU17" s="43"/>
      <c r="CV17" s="41"/>
    </row>
    <row r="18" s="58" customFormat="true" ht="11.25" hidden="false" customHeight="true" outlineLevel="0" collapsed="false">
      <c r="A18" s="40" t="s">
        <v>140</v>
      </c>
      <c r="B18" s="41" t="s">
        <v>108</v>
      </c>
      <c r="C18" s="42" t="s">
        <v>249</v>
      </c>
      <c r="D18" s="43"/>
      <c r="E18" s="43" t="n">
        <v>45670</v>
      </c>
      <c r="F18" s="43" t="n">
        <v>45670</v>
      </c>
      <c r="G18" s="41" t="s">
        <v>111</v>
      </c>
      <c r="H18" s="41" t="s">
        <v>141</v>
      </c>
      <c r="I18" s="41" t="s">
        <v>113</v>
      </c>
      <c r="J18" s="41" t="s">
        <v>113</v>
      </c>
      <c r="K18" s="42" t="s">
        <v>294</v>
      </c>
      <c r="L18" s="42" t="s">
        <v>295</v>
      </c>
      <c r="M18" s="40" t="s">
        <v>144</v>
      </c>
      <c r="N18" s="42" t="s">
        <v>145</v>
      </c>
      <c r="O18" s="42" t="s">
        <v>296</v>
      </c>
      <c r="P18" s="41" t="s">
        <v>297</v>
      </c>
      <c r="Q18" s="44" t="n">
        <v>28156</v>
      </c>
      <c r="R18" s="42" t="s">
        <v>254</v>
      </c>
      <c r="S18" s="42" t="s">
        <v>255</v>
      </c>
      <c r="T18" s="42"/>
      <c r="U18" s="41"/>
      <c r="V18" s="45" t="s">
        <v>256</v>
      </c>
      <c r="W18" s="43" t="n">
        <v>45667</v>
      </c>
      <c r="X18" s="43" t="s">
        <v>257</v>
      </c>
      <c r="Y18" s="45" t="s">
        <v>258</v>
      </c>
      <c r="Z18" s="43" t="n">
        <v>45668</v>
      </c>
      <c r="AA18" s="43" t="s">
        <v>259</v>
      </c>
      <c r="AB18" s="45" t="s">
        <v>260</v>
      </c>
      <c r="AC18" s="43" t="n">
        <v>45668</v>
      </c>
      <c r="AD18" s="43" t="s">
        <v>261</v>
      </c>
      <c r="AE18" s="45" t="s">
        <v>153</v>
      </c>
      <c r="AF18" s="44"/>
      <c r="AG18" s="41"/>
      <c r="AH18" s="46" t="str">
        <f aca="false">AB18</f>
        <v>LA8036 GRU SCL</v>
      </c>
      <c r="AI18" s="47" t="n">
        <f aca="false">AC18</f>
        <v>45668</v>
      </c>
      <c r="AJ18" s="48" t="str">
        <f aca="false">AD18</f>
        <v>13:20 17:35</v>
      </c>
      <c r="AK18" s="49" t="s">
        <v>262</v>
      </c>
      <c r="AL18" s="43" t="n">
        <v>45668</v>
      </c>
      <c r="AM18" s="50" t="s">
        <v>263</v>
      </c>
      <c r="AN18" s="51" t="s">
        <v>156</v>
      </c>
      <c r="AO18" s="43" t="n">
        <v>45670</v>
      </c>
      <c r="AP18" s="52" t="n">
        <v>0.354166666666667</v>
      </c>
      <c r="AQ18" s="41" t="s">
        <v>123</v>
      </c>
      <c r="AR18" s="41" t="s">
        <v>124</v>
      </c>
      <c r="AS18" s="41" t="s">
        <v>125</v>
      </c>
      <c r="AT18" s="41" t="s">
        <v>126</v>
      </c>
      <c r="AU18" s="41" t="s">
        <v>127</v>
      </c>
      <c r="AV18" s="41" t="s">
        <v>128</v>
      </c>
      <c r="AW18" s="41" t="n">
        <v>3</v>
      </c>
      <c r="AX18" s="53" t="s">
        <v>158</v>
      </c>
      <c r="AY18" s="43" t="n">
        <v>45668</v>
      </c>
      <c r="AZ18" s="43" t="n">
        <v>45670</v>
      </c>
      <c r="BA18" s="41" t="s">
        <v>159</v>
      </c>
      <c r="BB18" s="41" t="s">
        <v>290</v>
      </c>
      <c r="BC18" s="53" t="s">
        <v>161</v>
      </c>
      <c r="BD18" s="43"/>
      <c r="BE18" s="43"/>
      <c r="BF18" s="41"/>
      <c r="BG18" s="41" t="s">
        <v>161</v>
      </c>
      <c r="BH18" s="53" t="s">
        <v>161</v>
      </c>
      <c r="BI18" s="44"/>
      <c r="BJ18" s="44"/>
      <c r="BK18" s="41"/>
      <c r="BL18" s="41" t="s">
        <v>161</v>
      </c>
      <c r="BM18" s="41" t="s">
        <v>135</v>
      </c>
      <c r="BN18" s="41" t="s">
        <v>269</v>
      </c>
      <c r="BO18" s="41" t="s">
        <v>135</v>
      </c>
      <c r="BP18" s="41" t="s">
        <v>163</v>
      </c>
      <c r="BQ18" s="43" t="n">
        <v>45669</v>
      </c>
      <c r="BR18" s="54" t="n">
        <v>0.134722222222222</v>
      </c>
      <c r="BS18" s="41" t="s">
        <v>135</v>
      </c>
      <c r="BT18" s="41" t="s">
        <v>163</v>
      </c>
      <c r="BU18" s="41" t="s">
        <v>135</v>
      </c>
      <c r="BV18" s="41" t="s">
        <v>164</v>
      </c>
      <c r="BW18" s="43" t="n">
        <f aca="false">AZ18</f>
        <v>45670</v>
      </c>
      <c r="BX18" s="54"/>
      <c r="BY18" s="41" t="s">
        <v>161</v>
      </c>
      <c r="BZ18" s="43"/>
      <c r="CA18" s="40"/>
      <c r="CB18" s="40"/>
      <c r="CC18" s="43"/>
      <c r="CD18" s="54"/>
      <c r="CE18" s="55" t="s">
        <v>161</v>
      </c>
      <c r="CF18" s="43"/>
      <c r="CG18" s="43"/>
      <c r="CH18" s="43"/>
      <c r="CI18" s="43"/>
      <c r="CJ18" s="54"/>
      <c r="CK18" s="41"/>
      <c r="CL18" s="40"/>
      <c r="CM18" s="44"/>
      <c r="CN18" s="44"/>
      <c r="CO18" s="40"/>
      <c r="CP18" s="41"/>
      <c r="CQ18" s="44"/>
      <c r="CR18" s="44"/>
      <c r="CS18" s="40"/>
      <c r="CT18" s="41"/>
      <c r="CU18" s="43"/>
      <c r="CV18" s="41"/>
    </row>
    <row r="19" customFormat="false" ht="11.25" hidden="false" customHeight="true" outlineLevel="0" collapsed="false">
      <c r="A19" s="40" t="s">
        <v>140</v>
      </c>
      <c r="B19" s="55" t="s">
        <v>108</v>
      </c>
      <c r="C19" s="61" t="s">
        <v>249</v>
      </c>
      <c r="D19" s="60"/>
      <c r="E19" s="43" t="n">
        <v>45670</v>
      </c>
      <c r="F19" s="43" t="n">
        <v>45670</v>
      </c>
      <c r="G19" s="41" t="s">
        <v>111</v>
      </c>
      <c r="H19" s="41" t="s">
        <v>141</v>
      </c>
      <c r="I19" s="41" t="s">
        <v>113</v>
      </c>
      <c r="J19" s="41" t="s">
        <v>113</v>
      </c>
      <c r="K19" s="61" t="s">
        <v>298</v>
      </c>
      <c r="L19" s="61" t="s">
        <v>299</v>
      </c>
      <c r="M19" s="40" t="s">
        <v>144</v>
      </c>
      <c r="N19" s="61" t="s">
        <v>145</v>
      </c>
      <c r="O19" s="61" t="s">
        <v>300</v>
      </c>
      <c r="P19" s="55" t="s">
        <v>301</v>
      </c>
      <c r="Q19" s="44" t="n">
        <v>33314</v>
      </c>
      <c r="R19" s="61" t="s">
        <v>254</v>
      </c>
      <c r="S19" s="61" t="s">
        <v>255</v>
      </c>
      <c r="T19" s="61"/>
      <c r="U19" s="55"/>
      <c r="V19" s="45" t="s">
        <v>256</v>
      </c>
      <c r="W19" s="60" t="n">
        <v>45667</v>
      </c>
      <c r="X19" s="60" t="s">
        <v>257</v>
      </c>
      <c r="Y19" s="45" t="s">
        <v>258</v>
      </c>
      <c r="Z19" s="60" t="n">
        <v>45668</v>
      </c>
      <c r="AA19" s="60" t="s">
        <v>259</v>
      </c>
      <c r="AB19" s="45" t="s">
        <v>260</v>
      </c>
      <c r="AC19" s="60" t="n">
        <v>45668</v>
      </c>
      <c r="AD19" s="60" t="s">
        <v>261</v>
      </c>
      <c r="AE19" s="45" t="s">
        <v>153</v>
      </c>
      <c r="AF19" s="62"/>
      <c r="AG19" s="55"/>
      <c r="AH19" s="46" t="str">
        <f aca="false">AB19</f>
        <v>LA8036 GRU SCL</v>
      </c>
      <c r="AI19" s="47" t="n">
        <f aca="false">AC19</f>
        <v>45668</v>
      </c>
      <c r="AJ19" s="48" t="str">
        <f aca="false">AD19</f>
        <v>13:20 17:35</v>
      </c>
      <c r="AK19" s="63" t="s">
        <v>262</v>
      </c>
      <c r="AL19" s="43" t="n">
        <v>45668</v>
      </c>
      <c r="AM19" s="64" t="s">
        <v>263</v>
      </c>
      <c r="AN19" s="51" t="s">
        <v>156</v>
      </c>
      <c r="AO19" s="60" t="n">
        <v>45670</v>
      </c>
      <c r="AP19" s="52" t="n">
        <v>0.354166666666667</v>
      </c>
      <c r="AQ19" s="41" t="s">
        <v>123</v>
      </c>
      <c r="AR19" s="41" t="s">
        <v>124</v>
      </c>
      <c r="AS19" s="41" t="s">
        <v>125</v>
      </c>
      <c r="AT19" s="41" t="s">
        <v>126</v>
      </c>
      <c r="AU19" s="41" t="s">
        <v>127</v>
      </c>
      <c r="AV19" s="41" t="s">
        <v>128</v>
      </c>
      <c r="AW19" s="55" t="n">
        <v>3</v>
      </c>
      <c r="AX19" s="53" t="s">
        <v>158</v>
      </c>
      <c r="AY19" s="43" t="n">
        <v>45668</v>
      </c>
      <c r="AZ19" s="60" t="n">
        <v>45670</v>
      </c>
      <c r="BA19" s="41" t="s">
        <v>159</v>
      </c>
      <c r="BB19" s="55" t="s">
        <v>290</v>
      </c>
      <c r="BC19" s="53" t="s">
        <v>161</v>
      </c>
      <c r="BD19" s="43"/>
      <c r="BE19" s="43"/>
      <c r="BF19" s="41"/>
      <c r="BG19" s="41" t="s">
        <v>161</v>
      </c>
      <c r="BH19" s="65" t="s">
        <v>161</v>
      </c>
      <c r="BI19" s="62"/>
      <c r="BJ19" s="62"/>
      <c r="BK19" s="55"/>
      <c r="BL19" s="55" t="s">
        <v>161</v>
      </c>
      <c r="BM19" s="41" t="s">
        <v>135</v>
      </c>
      <c r="BN19" s="41" t="s">
        <v>269</v>
      </c>
      <c r="BO19" s="41" t="s">
        <v>135</v>
      </c>
      <c r="BP19" s="41" t="s">
        <v>163</v>
      </c>
      <c r="BQ19" s="43" t="n">
        <v>45669</v>
      </c>
      <c r="BR19" s="54" t="n">
        <v>0.134722222222222</v>
      </c>
      <c r="BS19" s="41" t="s">
        <v>135</v>
      </c>
      <c r="BT19" s="41" t="s">
        <v>163</v>
      </c>
      <c r="BU19" s="41" t="s">
        <v>135</v>
      </c>
      <c r="BV19" s="41" t="s">
        <v>164</v>
      </c>
      <c r="BW19" s="43" t="n">
        <f aca="false">AZ19</f>
        <v>45670</v>
      </c>
      <c r="BX19" s="54"/>
      <c r="BY19" s="41" t="s">
        <v>161</v>
      </c>
      <c r="BZ19" s="43"/>
      <c r="CA19" s="40"/>
      <c r="CB19" s="40"/>
      <c r="CC19" s="43"/>
      <c r="CD19" s="54"/>
      <c r="CE19" s="55" t="s">
        <v>161</v>
      </c>
      <c r="CF19" s="60"/>
      <c r="CG19" s="60"/>
      <c r="CH19" s="60"/>
      <c r="CI19" s="60"/>
      <c r="CJ19" s="54"/>
      <c r="CK19" s="55"/>
      <c r="CM19" s="62"/>
      <c r="CN19" s="62"/>
      <c r="CP19" s="55"/>
      <c r="CQ19" s="44"/>
      <c r="CR19" s="44"/>
      <c r="CT19" s="55"/>
      <c r="CU19" s="60"/>
      <c r="CV19" s="55"/>
    </row>
    <row r="20" customFormat="false" ht="11.25" hidden="false" customHeight="true" outlineLevel="0" collapsed="false">
      <c r="A20" s="40" t="s">
        <v>140</v>
      </c>
      <c r="B20" s="55" t="s">
        <v>108</v>
      </c>
      <c r="C20" s="61" t="s">
        <v>249</v>
      </c>
      <c r="D20" s="60"/>
      <c r="E20" s="43" t="n">
        <v>45670</v>
      </c>
      <c r="F20" s="43" t="n">
        <v>45670</v>
      </c>
      <c r="G20" s="41" t="s">
        <v>111</v>
      </c>
      <c r="H20" s="41" t="s">
        <v>141</v>
      </c>
      <c r="I20" s="41" t="s">
        <v>113</v>
      </c>
      <c r="J20" s="41" t="s">
        <v>113</v>
      </c>
      <c r="K20" s="61" t="s">
        <v>302</v>
      </c>
      <c r="L20" s="61" t="s">
        <v>303</v>
      </c>
      <c r="M20" s="40" t="s">
        <v>144</v>
      </c>
      <c r="N20" s="61" t="s">
        <v>304</v>
      </c>
      <c r="O20" s="61" t="s">
        <v>168</v>
      </c>
      <c r="P20" s="55" t="s">
        <v>305</v>
      </c>
      <c r="Q20" s="44" t="n">
        <v>33003</v>
      </c>
      <c r="R20" s="61" t="s">
        <v>120</v>
      </c>
      <c r="S20" s="61"/>
      <c r="T20" s="61"/>
      <c r="U20" s="55"/>
      <c r="V20" s="45" t="s">
        <v>306</v>
      </c>
      <c r="W20" s="60" t="n">
        <v>45667</v>
      </c>
      <c r="X20" s="60" t="s">
        <v>307</v>
      </c>
      <c r="Y20" s="45" t="s">
        <v>308</v>
      </c>
      <c r="Z20" s="60" t="n">
        <v>45668</v>
      </c>
      <c r="AA20" s="60" t="s">
        <v>309</v>
      </c>
      <c r="AB20" s="45" t="s">
        <v>161</v>
      </c>
      <c r="AC20" s="60"/>
      <c r="AD20" s="60"/>
      <c r="AE20" s="45" t="s">
        <v>153</v>
      </c>
      <c r="AF20" s="62"/>
      <c r="AG20" s="55"/>
      <c r="AH20" s="46" t="str">
        <f aca="false">AB20</f>
        <v>NO</v>
      </c>
      <c r="AI20" s="47"/>
      <c r="AJ20" s="48"/>
      <c r="AK20" s="63" t="s">
        <v>310</v>
      </c>
      <c r="AL20" s="43" t="n">
        <v>45668</v>
      </c>
      <c r="AM20" s="64" t="s">
        <v>311</v>
      </c>
      <c r="AN20" s="51" t="s">
        <v>156</v>
      </c>
      <c r="AO20" s="60" t="n">
        <v>45670</v>
      </c>
      <c r="AP20" s="52" t="n">
        <v>0.354166666666667</v>
      </c>
      <c r="AQ20" s="41" t="s">
        <v>123</v>
      </c>
      <c r="AR20" s="41" t="s">
        <v>124</v>
      </c>
      <c r="AS20" s="41" t="s">
        <v>125</v>
      </c>
      <c r="AT20" s="41" t="s">
        <v>126</v>
      </c>
      <c r="AU20" s="41" t="s">
        <v>127</v>
      </c>
      <c r="AV20" s="41" t="s">
        <v>128</v>
      </c>
      <c r="AW20" s="55" t="n">
        <v>3</v>
      </c>
      <c r="AX20" s="53" t="s">
        <v>158</v>
      </c>
      <c r="AY20" s="43" t="n">
        <v>45668</v>
      </c>
      <c r="AZ20" s="60" t="n">
        <v>45670</v>
      </c>
      <c r="BA20" s="41" t="s">
        <v>159</v>
      </c>
      <c r="BB20" s="55" t="s">
        <v>160</v>
      </c>
      <c r="BC20" s="53" t="s">
        <v>161</v>
      </c>
      <c r="BD20" s="43"/>
      <c r="BE20" s="43"/>
      <c r="BF20" s="41"/>
      <c r="BG20" s="41" t="s">
        <v>161</v>
      </c>
      <c r="BH20" s="65" t="s">
        <v>161</v>
      </c>
      <c r="BI20" s="62"/>
      <c r="BJ20" s="62"/>
      <c r="BK20" s="55"/>
      <c r="BL20" s="55" t="s">
        <v>161</v>
      </c>
      <c r="BM20" s="41" t="s">
        <v>135</v>
      </c>
      <c r="BN20" s="41" t="s">
        <v>269</v>
      </c>
      <c r="BO20" s="41" t="s">
        <v>135</v>
      </c>
      <c r="BP20" s="41" t="s">
        <v>163</v>
      </c>
      <c r="BQ20" s="43" t="n">
        <f aca="false">AL20</f>
        <v>45668</v>
      </c>
      <c r="BR20" s="54" t="str">
        <f aca="false">MID(AM20,7,8)</f>
        <v>17:52</v>
      </c>
      <c r="BS20" s="41" t="s">
        <v>135</v>
      </c>
      <c r="BT20" s="41" t="s">
        <v>163</v>
      </c>
      <c r="BU20" s="41" t="s">
        <v>135</v>
      </c>
      <c r="BV20" s="41" t="s">
        <v>164</v>
      </c>
      <c r="BW20" s="43" t="n">
        <f aca="false">AZ20</f>
        <v>45670</v>
      </c>
      <c r="BX20" s="54"/>
      <c r="BY20" s="41" t="s">
        <v>161</v>
      </c>
      <c r="BZ20" s="43"/>
      <c r="CA20" s="40"/>
      <c r="CB20" s="40"/>
      <c r="CC20" s="43"/>
      <c r="CD20" s="54"/>
      <c r="CE20" s="55" t="s">
        <v>161</v>
      </c>
      <c r="CF20" s="60"/>
      <c r="CG20" s="60"/>
      <c r="CH20" s="60"/>
      <c r="CI20" s="60"/>
      <c r="CJ20" s="54"/>
      <c r="CK20" s="55"/>
      <c r="CM20" s="62"/>
      <c r="CN20" s="62"/>
      <c r="CP20" s="55"/>
      <c r="CQ20" s="44"/>
      <c r="CR20" s="44"/>
      <c r="CT20" s="55"/>
      <c r="CU20" s="60"/>
      <c r="CV20" s="55"/>
    </row>
    <row r="21" customFormat="false" ht="11.25" hidden="false" customHeight="true" outlineLevel="0" collapsed="false">
      <c r="A21" s="40"/>
      <c r="E21" s="43"/>
      <c r="F21" s="43"/>
      <c r="H21" s="41"/>
      <c r="I21" s="41"/>
      <c r="J21" s="41"/>
      <c r="AQ21" s="41"/>
      <c r="AR21" s="41"/>
      <c r="AS21" s="41"/>
      <c r="AT21" s="41"/>
      <c r="AU21" s="41"/>
      <c r="AV21" s="41"/>
      <c r="AX21" s="41"/>
      <c r="BC21" s="41"/>
      <c r="BD21" s="43"/>
      <c r="BE21" s="43"/>
      <c r="BI21" s="5"/>
      <c r="BJ21" s="5"/>
      <c r="BM21" s="41"/>
      <c r="BN21" s="41"/>
      <c r="BO21" s="41"/>
      <c r="BP21" s="41"/>
      <c r="BQ21" s="43"/>
      <c r="BR21" s="54"/>
      <c r="BS21" s="41"/>
      <c r="BT21" s="41"/>
      <c r="BU21" s="41"/>
      <c r="BV21" s="41"/>
      <c r="BW21" s="43"/>
      <c r="BX21" s="54"/>
      <c r="BY21" s="41"/>
      <c r="BZ21" s="43"/>
      <c r="CA21" s="40"/>
      <c r="CB21" s="40"/>
      <c r="CC21" s="43"/>
      <c r="CD21" s="54"/>
      <c r="CE21" s="43"/>
    </row>
    <row r="22" customFormat="false" ht="11.25" hidden="false" customHeight="true" outlineLevel="0" collapsed="false">
      <c r="A22" s="40"/>
      <c r="E22" s="43"/>
      <c r="F22" s="43"/>
      <c r="H22" s="41"/>
      <c r="I22" s="41"/>
      <c r="J22" s="41"/>
      <c r="AQ22" s="41"/>
      <c r="AR22" s="41"/>
      <c r="AS22" s="41"/>
      <c r="AT22" s="41"/>
      <c r="AU22" s="41"/>
      <c r="AV22" s="41"/>
      <c r="AX22" s="41"/>
      <c r="BC22" s="41"/>
      <c r="BD22" s="43"/>
      <c r="BE22" s="43"/>
      <c r="BI22" s="5"/>
      <c r="BJ22" s="5"/>
      <c r="BM22" s="41"/>
      <c r="BN22" s="41"/>
      <c r="BO22" s="41"/>
      <c r="BP22" s="41"/>
      <c r="BQ22" s="43"/>
      <c r="BR22" s="54"/>
      <c r="BS22" s="41"/>
      <c r="BT22" s="41"/>
      <c r="BU22" s="41"/>
      <c r="BV22" s="41"/>
      <c r="BW22" s="43"/>
      <c r="BX22" s="54"/>
      <c r="BY22" s="41"/>
      <c r="BZ22" s="43"/>
      <c r="CA22" s="40"/>
      <c r="CB22" s="40"/>
      <c r="CC22" s="43"/>
      <c r="CD22" s="54"/>
      <c r="CE22" s="43"/>
    </row>
    <row r="23" customFormat="false" ht="11.25" hidden="false" customHeight="true" outlineLevel="0" collapsed="false">
      <c r="A23" s="40"/>
      <c r="E23" s="43"/>
      <c r="F23" s="43"/>
      <c r="H23" s="41"/>
      <c r="I23" s="41"/>
      <c r="J23" s="41"/>
      <c r="AQ23" s="41"/>
      <c r="AR23" s="41"/>
      <c r="AS23" s="41"/>
      <c r="AT23" s="41"/>
      <c r="AU23" s="41"/>
      <c r="AV23" s="41"/>
      <c r="AX23" s="41"/>
      <c r="BC23" s="41"/>
      <c r="BD23" s="43"/>
      <c r="BE23" s="43"/>
      <c r="BI23" s="5"/>
      <c r="BJ23" s="5"/>
      <c r="BM23" s="41"/>
      <c r="BN23" s="41"/>
      <c r="BO23" s="41"/>
      <c r="BP23" s="41"/>
      <c r="BQ23" s="43"/>
      <c r="BR23" s="54"/>
      <c r="BS23" s="41"/>
      <c r="BT23" s="41"/>
      <c r="BU23" s="41"/>
      <c r="BV23" s="41"/>
      <c r="BW23" s="43"/>
      <c r="BX23" s="54"/>
      <c r="BY23" s="41"/>
      <c r="BZ23" s="43"/>
      <c r="CA23" s="40"/>
      <c r="CB23" s="40"/>
      <c r="CC23" s="43"/>
      <c r="CD23" s="54"/>
      <c r="CE23" s="43"/>
    </row>
    <row r="24" customFormat="false" ht="11.25" hidden="false" customHeight="true" outlineLevel="0" collapsed="false">
      <c r="A24" s="40"/>
      <c r="E24" s="43"/>
      <c r="F24" s="43"/>
      <c r="H24" s="41"/>
      <c r="I24" s="41"/>
      <c r="J24" s="41"/>
      <c r="AQ24" s="41"/>
      <c r="AR24" s="41"/>
      <c r="AS24" s="41"/>
      <c r="AT24" s="41"/>
      <c r="AU24" s="41"/>
      <c r="AV24" s="41"/>
      <c r="AX24" s="41"/>
      <c r="BC24" s="41"/>
      <c r="BD24" s="43"/>
      <c r="BE24" s="43"/>
      <c r="BI24" s="5"/>
      <c r="BJ24" s="5"/>
      <c r="BM24" s="41"/>
      <c r="BN24" s="41"/>
      <c r="BO24" s="41"/>
      <c r="BP24" s="41"/>
      <c r="BQ24" s="43"/>
      <c r="BR24" s="54"/>
      <c r="BS24" s="41"/>
      <c r="BT24" s="41"/>
      <c r="BU24" s="41"/>
      <c r="BV24" s="41"/>
      <c r="BW24" s="43"/>
      <c r="BX24" s="54"/>
      <c r="BY24" s="41"/>
      <c r="BZ24" s="43"/>
      <c r="CA24" s="40"/>
      <c r="CB24" s="40"/>
      <c r="CC24" s="43"/>
      <c r="CD24" s="54"/>
      <c r="CE24" s="43"/>
    </row>
    <row r="25" customFormat="false" ht="11.25" hidden="false" customHeight="true" outlineLevel="0" collapsed="false">
      <c r="A25" s="40"/>
      <c r="E25" s="43"/>
      <c r="F25" s="43"/>
      <c r="H25" s="41"/>
      <c r="I25" s="41"/>
      <c r="J25" s="41"/>
      <c r="AQ25" s="41"/>
      <c r="AR25" s="41"/>
      <c r="AS25" s="41"/>
      <c r="AT25" s="41"/>
      <c r="AU25" s="41"/>
      <c r="AV25" s="41"/>
      <c r="AX25" s="41"/>
      <c r="BC25" s="41"/>
      <c r="BD25" s="43"/>
      <c r="BE25" s="43"/>
      <c r="BI25" s="5"/>
      <c r="BJ25" s="5"/>
      <c r="BM25" s="41"/>
      <c r="BN25" s="41"/>
      <c r="BO25" s="41"/>
      <c r="BP25" s="41"/>
      <c r="BQ25" s="43"/>
      <c r="BR25" s="54"/>
      <c r="BS25" s="41"/>
      <c r="BT25" s="41"/>
      <c r="BU25" s="41"/>
      <c r="BV25" s="41"/>
      <c r="BW25" s="43"/>
      <c r="BX25" s="54"/>
      <c r="BY25" s="41"/>
      <c r="BZ25" s="43"/>
      <c r="CA25" s="40"/>
      <c r="CB25" s="40"/>
      <c r="CC25" s="43"/>
      <c r="CD25" s="54"/>
      <c r="CE25" s="43"/>
    </row>
    <row r="26" customFormat="false" ht="11.25" hidden="false" customHeight="true" outlineLevel="0" collapsed="false">
      <c r="A26" s="40"/>
      <c r="E26" s="43"/>
      <c r="F26" s="43"/>
      <c r="H26" s="41"/>
      <c r="I26" s="41"/>
      <c r="J26" s="41"/>
      <c r="AQ26" s="41"/>
      <c r="AR26" s="41"/>
      <c r="AS26" s="41"/>
      <c r="AT26" s="41"/>
      <c r="AU26" s="41"/>
      <c r="AV26" s="41"/>
      <c r="AX26" s="41"/>
      <c r="BC26" s="41"/>
      <c r="BD26" s="43"/>
      <c r="BE26" s="43"/>
      <c r="BI26" s="5"/>
      <c r="BJ26" s="5"/>
      <c r="BM26" s="41"/>
      <c r="BN26" s="41"/>
      <c r="BO26" s="41"/>
      <c r="BP26" s="41"/>
      <c r="BQ26" s="43"/>
      <c r="BR26" s="54"/>
      <c r="BS26" s="41"/>
      <c r="BT26" s="41"/>
      <c r="BU26" s="41"/>
      <c r="BV26" s="41"/>
      <c r="BW26" s="43"/>
      <c r="BX26" s="54"/>
      <c r="BY26" s="41"/>
      <c r="BZ26" s="43"/>
      <c r="CA26" s="40"/>
      <c r="CB26" s="40"/>
      <c r="CC26" s="43"/>
      <c r="CD26" s="54"/>
      <c r="CE26" s="43"/>
    </row>
    <row r="27" customFormat="false" ht="11.25" hidden="false" customHeight="true" outlineLevel="0" collapsed="false">
      <c r="A27" s="40"/>
      <c r="E27" s="43"/>
      <c r="F27" s="43"/>
      <c r="H27" s="41"/>
      <c r="I27" s="41"/>
      <c r="J27" s="41"/>
      <c r="AQ27" s="41"/>
      <c r="AR27" s="41"/>
      <c r="AS27" s="41"/>
      <c r="AT27" s="41"/>
      <c r="AU27" s="41"/>
      <c r="AV27" s="41"/>
      <c r="AX27" s="41"/>
      <c r="BC27" s="41"/>
      <c r="BD27" s="43"/>
      <c r="BE27" s="43"/>
      <c r="BI27" s="5"/>
      <c r="BJ27" s="5"/>
      <c r="BM27" s="41"/>
      <c r="BN27" s="41"/>
      <c r="BO27" s="41"/>
      <c r="BP27" s="41"/>
      <c r="BQ27" s="43"/>
      <c r="BR27" s="54"/>
      <c r="BS27" s="41"/>
      <c r="BT27" s="41"/>
      <c r="BU27" s="41"/>
      <c r="BV27" s="41"/>
      <c r="BW27" s="43"/>
      <c r="BX27" s="54"/>
      <c r="BY27" s="41"/>
      <c r="BZ27" s="43"/>
      <c r="CA27" s="40"/>
      <c r="CB27" s="40"/>
      <c r="CC27" s="43"/>
      <c r="CD27" s="54"/>
      <c r="CE27" s="43"/>
    </row>
    <row r="28" customFormat="false" ht="11.25" hidden="false" customHeight="true" outlineLevel="0" collapsed="false">
      <c r="A28" s="40"/>
      <c r="E28" s="43"/>
      <c r="F28" s="43"/>
      <c r="H28" s="41"/>
      <c r="I28" s="41"/>
      <c r="J28" s="41"/>
      <c r="AQ28" s="41"/>
      <c r="AR28" s="41"/>
      <c r="AS28" s="41"/>
      <c r="AT28" s="41"/>
      <c r="AU28" s="41"/>
      <c r="AV28" s="41"/>
      <c r="AX28" s="41"/>
      <c r="BC28" s="41"/>
      <c r="BD28" s="43"/>
      <c r="BE28" s="43"/>
      <c r="BI28" s="5"/>
      <c r="BJ28" s="5"/>
      <c r="BM28" s="41"/>
      <c r="BN28" s="41"/>
      <c r="BO28" s="41"/>
      <c r="BP28" s="41"/>
      <c r="BQ28" s="43"/>
      <c r="BR28" s="54"/>
      <c r="BS28" s="41"/>
      <c r="BT28" s="41"/>
      <c r="BU28" s="41"/>
      <c r="BV28" s="41"/>
      <c r="BW28" s="43"/>
      <c r="BX28" s="54"/>
      <c r="BY28" s="41"/>
      <c r="BZ28" s="43"/>
      <c r="CA28" s="40"/>
      <c r="CB28" s="40"/>
      <c r="CC28" s="43"/>
      <c r="CD28" s="54"/>
      <c r="CE28" s="43"/>
    </row>
    <row r="29" customFormat="false" ht="11.25" hidden="false" customHeight="true" outlineLevel="0" collapsed="false">
      <c r="A29" s="40"/>
      <c r="E29" s="43"/>
      <c r="F29" s="43"/>
      <c r="H29" s="41"/>
      <c r="I29" s="41"/>
      <c r="J29" s="41"/>
      <c r="AQ29" s="41"/>
      <c r="AR29" s="41"/>
      <c r="AS29" s="41"/>
      <c r="AT29" s="41"/>
      <c r="AU29" s="41"/>
      <c r="AV29" s="41"/>
      <c r="AX29" s="41"/>
      <c r="BC29" s="41"/>
      <c r="BD29" s="43"/>
      <c r="BE29" s="43"/>
      <c r="BI29" s="5"/>
      <c r="BJ29" s="5"/>
      <c r="BM29" s="41"/>
      <c r="BN29" s="41"/>
      <c r="BO29" s="41"/>
      <c r="BP29" s="41"/>
      <c r="BQ29" s="43"/>
      <c r="BR29" s="54"/>
      <c r="BS29" s="41"/>
      <c r="BT29" s="41"/>
      <c r="BU29" s="41"/>
      <c r="BV29" s="41"/>
      <c r="BW29" s="43"/>
      <c r="BX29" s="54"/>
      <c r="BY29" s="41"/>
      <c r="BZ29" s="43"/>
      <c r="CA29" s="40"/>
      <c r="CB29" s="40"/>
      <c r="CC29" s="43"/>
      <c r="CD29" s="54"/>
      <c r="CE29" s="43"/>
    </row>
    <row r="30" customFormat="false" ht="11.25" hidden="false" customHeight="true" outlineLevel="0" collapsed="false">
      <c r="A30" s="40"/>
      <c r="E30" s="43"/>
      <c r="F30" s="43"/>
      <c r="H30" s="41"/>
      <c r="I30" s="41"/>
      <c r="J30" s="41"/>
      <c r="AQ30" s="41"/>
      <c r="AR30" s="41"/>
      <c r="AS30" s="41"/>
      <c r="AT30" s="41"/>
      <c r="AU30" s="41"/>
      <c r="AV30" s="41"/>
      <c r="AX30" s="41"/>
      <c r="BC30" s="41"/>
      <c r="BD30" s="43"/>
      <c r="BE30" s="43"/>
      <c r="BI30" s="5"/>
      <c r="BJ30" s="5"/>
      <c r="BM30" s="41"/>
      <c r="BN30" s="41"/>
      <c r="BO30" s="41"/>
      <c r="BP30" s="41"/>
      <c r="BQ30" s="43"/>
      <c r="BR30" s="54"/>
      <c r="BS30" s="41"/>
      <c r="BT30" s="41"/>
      <c r="BU30" s="41"/>
      <c r="BV30" s="41"/>
      <c r="BW30" s="43"/>
      <c r="BX30" s="54"/>
      <c r="BY30" s="41"/>
      <c r="BZ30" s="43"/>
      <c r="CA30" s="40"/>
      <c r="CB30" s="40"/>
      <c r="CC30" s="43"/>
      <c r="CD30" s="54"/>
      <c r="CE30" s="43"/>
    </row>
    <row r="31" customFormat="false" ht="11.25" hidden="false" customHeight="true" outlineLevel="0" collapsed="false">
      <c r="A31" s="40"/>
      <c r="E31" s="43"/>
      <c r="F31" s="43"/>
      <c r="H31" s="41"/>
      <c r="I31" s="41"/>
      <c r="J31" s="41"/>
      <c r="AQ31" s="41"/>
      <c r="AR31" s="41"/>
      <c r="AS31" s="41"/>
      <c r="AT31" s="41"/>
      <c r="AU31" s="41"/>
      <c r="AV31" s="41"/>
      <c r="AX31" s="41"/>
      <c r="BC31" s="41"/>
      <c r="BD31" s="43"/>
      <c r="BE31" s="43"/>
      <c r="BI31" s="5"/>
      <c r="BJ31" s="5"/>
    </row>
    <row r="32" customFormat="false" ht="11.25" hidden="false" customHeight="true" outlineLevel="0" collapsed="false">
      <c r="A32" s="40"/>
      <c r="E32" s="43"/>
      <c r="F32" s="43"/>
      <c r="H32" s="41"/>
      <c r="I32" s="41"/>
      <c r="J32" s="41"/>
      <c r="AQ32" s="41"/>
      <c r="AR32" s="41"/>
      <c r="AS32" s="41"/>
      <c r="AT32" s="41"/>
      <c r="AU32" s="41"/>
      <c r="AV32" s="41"/>
      <c r="AX32" s="41"/>
      <c r="BC32" s="41"/>
      <c r="BD32" s="43"/>
      <c r="BE32" s="43"/>
      <c r="BI32" s="5"/>
      <c r="BJ32" s="5"/>
    </row>
    <row r="33" customFormat="false" ht="11.25" hidden="false" customHeight="true" outlineLevel="0" collapsed="false">
      <c r="A33" s="40"/>
      <c r="E33" s="43"/>
      <c r="F33" s="43"/>
      <c r="H33" s="41"/>
      <c r="I33" s="41"/>
      <c r="J33" s="41"/>
      <c r="AQ33" s="41"/>
      <c r="AR33" s="41"/>
      <c r="AS33" s="41"/>
      <c r="AT33" s="41"/>
      <c r="AU33" s="41"/>
      <c r="AV33" s="41"/>
      <c r="AX33" s="41"/>
      <c r="BC33" s="41"/>
      <c r="BD33" s="43"/>
      <c r="BE33" s="43"/>
      <c r="BI33" s="5"/>
      <c r="BJ33" s="5"/>
      <c r="BM33" s="41"/>
      <c r="BN33" s="41"/>
      <c r="BO33" s="41"/>
      <c r="BP33" s="41"/>
      <c r="BQ33" s="43"/>
      <c r="BR33" s="54"/>
      <c r="BS33" s="41"/>
      <c r="BT33" s="41"/>
      <c r="BU33" s="41"/>
      <c r="BV33" s="41"/>
      <c r="BW33" s="43"/>
      <c r="BX33" s="54"/>
      <c r="BY33" s="41"/>
      <c r="BZ33" s="43"/>
      <c r="CA33" s="40"/>
      <c r="CB33" s="40"/>
      <c r="CC33" s="43"/>
      <c r="CD33" s="54"/>
      <c r="CE33" s="43"/>
    </row>
    <row r="34" customFormat="false" ht="11.25" hidden="false" customHeight="true" outlineLevel="0" collapsed="false">
      <c r="A34" s="40"/>
      <c r="E34" s="43"/>
      <c r="F34" s="43"/>
      <c r="H34" s="41"/>
      <c r="I34" s="41"/>
      <c r="J34" s="41"/>
      <c r="AQ34" s="41"/>
      <c r="AR34" s="41"/>
      <c r="AS34" s="41"/>
      <c r="AT34" s="41"/>
      <c r="AU34" s="41"/>
      <c r="AV34" s="41"/>
      <c r="AX34" s="41"/>
      <c r="BC34" s="41"/>
      <c r="BD34" s="43"/>
      <c r="BE34" s="43"/>
      <c r="BI34" s="5"/>
      <c r="BJ34" s="5"/>
      <c r="BM34" s="41"/>
      <c r="BN34" s="41"/>
      <c r="BO34" s="41"/>
      <c r="BP34" s="41"/>
      <c r="BQ34" s="43"/>
      <c r="BR34" s="54"/>
      <c r="BS34" s="41"/>
      <c r="BT34" s="41"/>
      <c r="BU34" s="41"/>
      <c r="BV34" s="41"/>
      <c r="BW34" s="43"/>
      <c r="BX34" s="54"/>
      <c r="BY34" s="41"/>
      <c r="BZ34" s="43"/>
      <c r="CA34" s="40"/>
      <c r="CB34" s="40"/>
      <c r="CC34" s="43"/>
      <c r="CD34" s="54"/>
      <c r="CE34" s="43"/>
    </row>
    <row r="35" customFormat="false" ht="11.25" hidden="false" customHeight="true" outlineLevel="0" collapsed="false">
      <c r="A35" s="40"/>
      <c r="E35" s="43"/>
      <c r="F35" s="43"/>
      <c r="H35" s="41"/>
      <c r="I35" s="41"/>
      <c r="J35" s="41"/>
      <c r="AQ35" s="41"/>
      <c r="AR35" s="41"/>
      <c r="AS35" s="41"/>
      <c r="AT35" s="41"/>
      <c r="AU35" s="41"/>
      <c r="AV35" s="41"/>
      <c r="AX35" s="41"/>
      <c r="BC35" s="41"/>
      <c r="BD35" s="43"/>
      <c r="BE35" s="43"/>
      <c r="BI35" s="5"/>
      <c r="BJ35" s="5"/>
      <c r="BM35" s="41"/>
      <c r="BN35" s="41"/>
      <c r="BO35" s="41"/>
      <c r="BP35" s="41"/>
      <c r="BQ35" s="43"/>
      <c r="BR35" s="54"/>
      <c r="BS35" s="41"/>
      <c r="BT35" s="41"/>
      <c r="BU35" s="41"/>
      <c r="BV35" s="41"/>
      <c r="BW35" s="43"/>
      <c r="BX35" s="54"/>
      <c r="BY35" s="41"/>
      <c r="BZ35" s="43"/>
      <c r="CA35" s="40"/>
      <c r="CB35" s="40"/>
      <c r="CC35" s="43"/>
      <c r="CD35" s="54"/>
      <c r="CE35" s="43"/>
    </row>
    <row r="36" customFormat="false" ht="11.25" hidden="false" customHeight="true" outlineLevel="0" collapsed="false">
      <c r="A36" s="40"/>
      <c r="E36" s="43"/>
      <c r="F36" s="43"/>
      <c r="H36" s="41"/>
      <c r="I36" s="41"/>
      <c r="J36" s="41"/>
      <c r="AQ36" s="41"/>
      <c r="AR36" s="41"/>
      <c r="AS36" s="41"/>
      <c r="AT36" s="41"/>
      <c r="AU36" s="41"/>
      <c r="AV36" s="41"/>
      <c r="AX36" s="41"/>
      <c r="BC36" s="41"/>
      <c r="BD36" s="43"/>
      <c r="BE36" s="43"/>
      <c r="BI36" s="5"/>
      <c r="BJ36" s="5"/>
      <c r="BM36" s="41"/>
      <c r="BN36" s="41"/>
      <c r="BO36" s="41"/>
      <c r="BP36" s="41"/>
      <c r="BQ36" s="43"/>
      <c r="BR36" s="54"/>
      <c r="BS36" s="41"/>
      <c r="BT36" s="41"/>
      <c r="BU36" s="41"/>
      <c r="BV36" s="41"/>
      <c r="BW36" s="43"/>
      <c r="BX36" s="54"/>
      <c r="BY36" s="41"/>
      <c r="BZ36" s="43"/>
      <c r="CA36" s="40"/>
      <c r="CB36" s="40"/>
      <c r="CC36" s="43"/>
      <c r="CD36" s="54"/>
      <c r="CE36" s="43"/>
    </row>
    <row r="37" customFormat="false" ht="11.25" hidden="false" customHeight="true" outlineLevel="0" collapsed="false">
      <c r="A37" s="40"/>
      <c r="E37" s="43"/>
      <c r="F37" s="43"/>
      <c r="H37" s="41"/>
      <c r="I37" s="41"/>
      <c r="J37" s="41"/>
      <c r="AQ37" s="41"/>
      <c r="AR37" s="41"/>
      <c r="AS37" s="41"/>
      <c r="AT37" s="41"/>
      <c r="AU37" s="41"/>
      <c r="AV37" s="41"/>
      <c r="AX37" s="41"/>
      <c r="BC37" s="41"/>
      <c r="BD37" s="43"/>
      <c r="BE37" s="43"/>
      <c r="BI37" s="5"/>
      <c r="BJ37" s="5"/>
      <c r="BM37" s="41"/>
      <c r="BN37" s="41"/>
      <c r="BO37" s="41"/>
      <c r="BP37" s="41"/>
      <c r="BQ37" s="43"/>
      <c r="BR37" s="54"/>
      <c r="BS37" s="41"/>
      <c r="BT37" s="41"/>
      <c r="BU37" s="41"/>
      <c r="BV37" s="41"/>
      <c r="BW37" s="43"/>
      <c r="BX37" s="54"/>
      <c r="BY37" s="41"/>
      <c r="BZ37" s="43"/>
      <c r="CA37" s="40"/>
      <c r="CB37" s="40"/>
      <c r="CC37" s="43"/>
      <c r="CD37" s="54"/>
      <c r="CE37" s="43"/>
    </row>
    <row r="38" customFormat="false" ht="11.25" hidden="false" customHeight="true" outlineLevel="0" collapsed="false">
      <c r="A38" s="40"/>
      <c r="E38" s="43"/>
      <c r="F38" s="43"/>
      <c r="H38" s="41"/>
      <c r="I38" s="41"/>
      <c r="J38" s="41"/>
      <c r="AQ38" s="41"/>
      <c r="AR38" s="41"/>
      <c r="AS38" s="41"/>
      <c r="AT38" s="41"/>
      <c r="AU38" s="41"/>
      <c r="AV38" s="41"/>
      <c r="AX38" s="41"/>
      <c r="BC38" s="41"/>
      <c r="BD38" s="43"/>
      <c r="BE38" s="43"/>
      <c r="BI38" s="5"/>
      <c r="BJ38" s="5"/>
      <c r="BM38" s="41"/>
      <c r="BN38" s="41"/>
      <c r="BO38" s="41"/>
      <c r="BP38" s="41"/>
      <c r="BQ38" s="43"/>
      <c r="BR38" s="54"/>
      <c r="BS38" s="41"/>
      <c r="BT38" s="41"/>
      <c r="BU38" s="41"/>
      <c r="BV38" s="41"/>
      <c r="BW38" s="43"/>
      <c r="BX38" s="54"/>
      <c r="BY38" s="41"/>
      <c r="BZ38" s="43"/>
      <c r="CA38" s="40"/>
      <c r="CB38" s="40"/>
      <c r="CC38" s="43"/>
      <c r="CD38" s="54"/>
      <c r="CE38" s="43"/>
    </row>
    <row r="39" customFormat="false" ht="11.25" hidden="false" customHeight="true" outlineLevel="0" collapsed="false">
      <c r="A39" s="40"/>
      <c r="E39" s="43"/>
      <c r="F39" s="43"/>
      <c r="H39" s="41"/>
      <c r="I39" s="41"/>
      <c r="J39" s="41"/>
      <c r="AQ39" s="41"/>
      <c r="AR39" s="41"/>
      <c r="AS39" s="41"/>
      <c r="AT39" s="41"/>
      <c r="AU39" s="41"/>
      <c r="AV39" s="41"/>
      <c r="AX39" s="41"/>
      <c r="BC39" s="41"/>
      <c r="BD39" s="43"/>
      <c r="BE39" s="43"/>
      <c r="BI39" s="5"/>
      <c r="BJ39" s="5"/>
      <c r="BM39" s="41"/>
      <c r="BN39" s="41"/>
      <c r="BO39" s="41"/>
      <c r="BP39" s="41"/>
      <c r="BQ39" s="43"/>
      <c r="BR39" s="54"/>
      <c r="BS39" s="41"/>
      <c r="BT39" s="41"/>
      <c r="BU39" s="41"/>
      <c r="BV39" s="41"/>
      <c r="BW39" s="43"/>
      <c r="BX39" s="54"/>
      <c r="BY39" s="41"/>
      <c r="BZ39" s="43"/>
      <c r="CA39" s="40"/>
      <c r="CB39" s="40"/>
      <c r="CC39" s="43"/>
      <c r="CD39" s="54"/>
      <c r="CE39" s="43"/>
    </row>
    <row r="40" customFormat="false" ht="11.25" hidden="false" customHeight="true" outlineLevel="0" collapsed="false">
      <c r="A40" s="40"/>
      <c r="E40" s="43"/>
      <c r="F40" s="43"/>
      <c r="H40" s="41"/>
      <c r="I40" s="41"/>
      <c r="J40" s="41"/>
      <c r="AQ40" s="41"/>
      <c r="AR40" s="41"/>
      <c r="AS40" s="41"/>
      <c r="AT40" s="41"/>
      <c r="AU40" s="41"/>
      <c r="AV40" s="41"/>
      <c r="AX40" s="41"/>
      <c r="BC40" s="41"/>
      <c r="BD40" s="43"/>
      <c r="BE40" s="43"/>
      <c r="BI40" s="5"/>
      <c r="BJ40" s="5"/>
      <c r="BM40" s="41"/>
      <c r="BN40" s="41"/>
      <c r="BO40" s="41"/>
      <c r="BP40" s="41"/>
      <c r="BQ40" s="43"/>
      <c r="BR40" s="54"/>
      <c r="BS40" s="41"/>
      <c r="BT40" s="41"/>
      <c r="BU40" s="41"/>
      <c r="BV40" s="41"/>
      <c r="BW40" s="43"/>
      <c r="BX40" s="54"/>
      <c r="BY40" s="41"/>
      <c r="BZ40" s="43"/>
      <c r="CA40" s="40"/>
      <c r="CB40" s="40"/>
      <c r="CC40" s="43"/>
      <c r="CD40" s="54"/>
      <c r="CE40" s="43"/>
    </row>
    <row r="41" customFormat="false" ht="11.25" hidden="false" customHeight="true" outlineLevel="0" collapsed="false">
      <c r="A41" s="40"/>
      <c r="E41" s="43"/>
      <c r="F41" s="43"/>
      <c r="H41" s="41"/>
      <c r="I41" s="41"/>
      <c r="J41" s="41"/>
      <c r="AQ41" s="41"/>
      <c r="AR41" s="41"/>
      <c r="AS41" s="41"/>
      <c r="AT41" s="41"/>
      <c r="AU41" s="41"/>
      <c r="AV41" s="41"/>
      <c r="AX41" s="41"/>
      <c r="BC41" s="41"/>
      <c r="BD41" s="43"/>
      <c r="BE41" s="43"/>
      <c r="BI41" s="5"/>
      <c r="BJ41" s="5"/>
      <c r="BM41" s="41"/>
      <c r="BN41" s="41"/>
      <c r="BO41" s="41"/>
      <c r="BP41" s="41"/>
      <c r="BQ41" s="43"/>
      <c r="BR41" s="54"/>
      <c r="BS41" s="41"/>
      <c r="BT41" s="41"/>
      <c r="BU41" s="41"/>
      <c r="BV41" s="41"/>
      <c r="BW41" s="43"/>
      <c r="BX41" s="54"/>
      <c r="BY41" s="41"/>
      <c r="BZ41" s="43"/>
      <c r="CA41" s="40"/>
      <c r="CB41" s="40"/>
      <c r="CC41" s="43"/>
      <c r="CD41" s="54"/>
      <c r="CE41" s="43"/>
    </row>
    <row r="42" customFormat="false" ht="11.25" hidden="false" customHeight="true" outlineLevel="0" collapsed="false">
      <c r="A42" s="40"/>
      <c r="E42" s="43"/>
      <c r="F42" s="43"/>
      <c r="H42" s="41"/>
      <c r="I42" s="41"/>
      <c r="J42" s="41"/>
      <c r="AQ42" s="41"/>
      <c r="AR42" s="41"/>
      <c r="AS42" s="41"/>
      <c r="AT42" s="41"/>
      <c r="AU42" s="41"/>
      <c r="AV42" s="41"/>
      <c r="AX42" s="41"/>
      <c r="BC42" s="41"/>
      <c r="BD42" s="43"/>
      <c r="BE42" s="43"/>
      <c r="BI42" s="5"/>
      <c r="BJ42" s="5"/>
      <c r="BM42" s="41"/>
      <c r="BN42" s="41"/>
      <c r="BO42" s="41"/>
      <c r="BP42" s="41"/>
      <c r="BQ42" s="43"/>
      <c r="BR42" s="54"/>
      <c r="BS42" s="41"/>
      <c r="BT42" s="41"/>
      <c r="BU42" s="41"/>
      <c r="BV42" s="41"/>
      <c r="BW42" s="43"/>
      <c r="BX42" s="54"/>
      <c r="BY42" s="41"/>
      <c r="BZ42" s="43"/>
      <c r="CA42" s="40"/>
      <c r="CB42" s="40"/>
      <c r="CC42" s="43"/>
      <c r="CD42" s="54"/>
      <c r="CE42" s="43"/>
    </row>
    <row r="43" customFormat="false" ht="11.25" hidden="false" customHeight="true" outlineLevel="0" collapsed="false">
      <c r="A43" s="40"/>
      <c r="E43" s="43"/>
      <c r="F43" s="43"/>
      <c r="H43" s="41"/>
      <c r="I43" s="41"/>
      <c r="J43" s="41"/>
      <c r="AQ43" s="41"/>
      <c r="AR43" s="41"/>
      <c r="AS43" s="41"/>
      <c r="AT43" s="41"/>
      <c r="AU43" s="41"/>
      <c r="AV43" s="41"/>
      <c r="AX43" s="41"/>
      <c r="BC43" s="41"/>
      <c r="BD43" s="43"/>
      <c r="BE43" s="43"/>
      <c r="BI43" s="5"/>
      <c r="BJ43" s="5"/>
      <c r="BM43" s="41"/>
      <c r="BN43" s="41"/>
      <c r="BO43" s="41"/>
      <c r="BP43" s="41"/>
      <c r="BQ43" s="43"/>
      <c r="BR43" s="54"/>
      <c r="BS43" s="41"/>
      <c r="BT43" s="41"/>
      <c r="BU43" s="41"/>
      <c r="BV43" s="41"/>
      <c r="BW43" s="43"/>
      <c r="BX43" s="54"/>
      <c r="BY43" s="41"/>
      <c r="BZ43" s="43"/>
      <c r="CA43" s="40"/>
      <c r="CB43" s="40"/>
      <c r="CC43" s="43"/>
      <c r="CD43" s="54"/>
      <c r="CE43" s="43"/>
    </row>
    <row r="44" customFormat="false" ht="11.25" hidden="false" customHeight="true" outlineLevel="0" collapsed="false">
      <c r="A44" s="40"/>
      <c r="E44" s="43"/>
      <c r="F44" s="43"/>
      <c r="H44" s="41"/>
      <c r="I44" s="41"/>
      <c r="J44" s="41"/>
      <c r="AQ44" s="41"/>
      <c r="AR44" s="41"/>
      <c r="AS44" s="41"/>
      <c r="AT44" s="41"/>
      <c r="AU44" s="41"/>
      <c r="AV44" s="41"/>
      <c r="AX44" s="41"/>
      <c r="BC44" s="41"/>
      <c r="BD44" s="43"/>
      <c r="BE44" s="43"/>
      <c r="BI44" s="5"/>
      <c r="BJ44" s="5"/>
      <c r="BM44" s="41"/>
      <c r="BN44" s="41"/>
      <c r="BO44" s="41"/>
      <c r="BP44" s="41"/>
      <c r="BQ44" s="43"/>
      <c r="BR44" s="54"/>
      <c r="BS44" s="41"/>
      <c r="BT44" s="41"/>
      <c r="BU44" s="41"/>
      <c r="BV44" s="41"/>
      <c r="BW44" s="43"/>
      <c r="BX44" s="54"/>
      <c r="BY44" s="41"/>
      <c r="BZ44" s="43"/>
      <c r="CA44" s="40"/>
      <c r="CB44" s="40"/>
      <c r="CC44" s="43"/>
      <c r="CD44" s="54"/>
      <c r="CE44" s="43"/>
    </row>
    <row r="45" customFormat="false" ht="11.25" hidden="false" customHeight="true" outlineLevel="0" collapsed="false">
      <c r="A45" s="40"/>
      <c r="E45" s="43"/>
      <c r="F45" s="43"/>
      <c r="H45" s="41"/>
      <c r="I45" s="41"/>
      <c r="J45" s="41"/>
      <c r="AQ45" s="41"/>
      <c r="AR45" s="41"/>
      <c r="AS45" s="41"/>
      <c r="AT45" s="41"/>
      <c r="AU45" s="41"/>
      <c r="AV45" s="41"/>
      <c r="AX45" s="41"/>
      <c r="BC45" s="41"/>
      <c r="BD45" s="43"/>
      <c r="BE45" s="43"/>
      <c r="BI45" s="5"/>
      <c r="BJ45" s="5"/>
      <c r="BM45" s="41"/>
      <c r="BN45" s="41"/>
      <c r="BO45" s="41"/>
      <c r="BP45" s="41"/>
      <c r="BQ45" s="43"/>
      <c r="BR45" s="54"/>
      <c r="BS45" s="41"/>
      <c r="BT45" s="41"/>
      <c r="BU45" s="41"/>
      <c r="BV45" s="41"/>
      <c r="BW45" s="43"/>
      <c r="BX45" s="54"/>
      <c r="BY45" s="41"/>
      <c r="BZ45" s="43"/>
      <c r="CA45" s="40"/>
      <c r="CB45" s="40"/>
      <c r="CC45" s="43"/>
      <c r="CD45" s="54"/>
      <c r="CE45" s="43"/>
    </row>
    <row r="46" customFormat="false" ht="11.25" hidden="false" customHeight="true" outlineLevel="0" collapsed="false">
      <c r="A46" s="40"/>
      <c r="E46" s="43"/>
      <c r="F46" s="43"/>
      <c r="H46" s="41"/>
      <c r="I46" s="41"/>
      <c r="J46" s="41"/>
      <c r="AQ46" s="41"/>
      <c r="AR46" s="41"/>
      <c r="AS46" s="41"/>
      <c r="AT46" s="41"/>
      <c r="AU46" s="41"/>
      <c r="AV46" s="41"/>
      <c r="AX46" s="41"/>
      <c r="BC46" s="41"/>
      <c r="BD46" s="43"/>
      <c r="BE46" s="43"/>
      <c r="BI46" s="5"/>
      <c r="BJ46" s="5"/>
      <c r="BM46" s="41"/>
      <c r="BN46" s="41"/>
      <c r="BO46" s="41"/>
      <c r="BP46" s="41"/>
      <c r="BQ46" s="43"/>
      <c r="BR46" s="54"/>
      <c r="BS46" s="41"/>
      <c r="BT46" s="41"/>
      <c r="BU46" s="41"/>
      <c r="BV46" s="41"/>
      <c r="BW46" s="43"/>
      <c r="BX46" s="54"/>
      <c r="BY46" s="41"/>
      <c r="BZ46" s="43"/>
      <c r="CA46" s="40"/>
      <c r="CB46" s="40"/>
      <c r="CC46" s="43"/>
      <c r="CD46" s="54"/>
      <c r="CE46" s="43"/>
    </row>
    <row r="47" customFormat="false" ht="14.25" hidden="false" customHeight="false" outlineLevel="0" collapsed="false">
      <c r="A47" s="40"/>
      <c r="E47" s="43"/>
      <c r="F47" s="43"/>
      <c r="H47" s="41"/>
      <c r="I47" s="41"/>
      <c r="J47" s="41"/>
      <c r="AQ47" s="41"/>
      <c r="AR47" s="41"/>
      <c r="AS47" s="41"/>
      <c r="AT47" s="41"/>
      <c r="AU47" s="41"/>
      <c r="AV47" s="41"/>
      <c r="AX47" s="41"/>
      <c r="BC47" s="41"/>
      <c r="BD47" s="43"/>
      <c r="BE47" s="43"/>
      <c r="BI47" s="5"/>
      <c r="BJ47" s="5"/>
      <c r="BM47" s="41"/>
      <c r="BN47" s="41"/>
      <c r="BO47" s="41"/>
      <c r="BP47" s="41"/>
      <c r="BQ47" s="43"/>
      <c r="BR47" s="54"/>
      <c r="BS47" s="41"/>
      <c r="BT47" s="41"/>
      <c r="BU47" s="41"/>
      <c r="BV47" s="41"/>
      <c r="BW47" s="43"/>
      <c r="BX47" s="54"/>
      <c r="BY47" s="41"/>
      <c r="BZ47" s="43"/>
      <c r="CA47" s="40"/>
      <c r="CB47" s="40"/>
      <c r="CC47" s="43"/>
      <c r="CD47" s="54"/>
      <c r="CE47" s="43"/>
    </row>
    <row r="48" customFormat="false" ht="14.25" hidden="false" customHeight="false" outlineLevel="0" collapsed="false">
      <c r="A48" s="40"/>
      <c r="E48" s="43"/>
      <c r="F48" s="43"/>
      <c r="H48" s="41"/>
      <c r="I48" s="41"/>
      <c r="J48" s="41"/>
      <c r="AQ48" s="41"/>
      <c r="AR48" s="41"/>
      <c r="AS48" s="41"/>
      <c r="AT48" s="41"/>
      <c r="AU48" s="41"/>
      <c r="AV48" s="41"/>
      <c r="AX48" s="41"/>
      <c r="BC48" s="41"/>
      <c r="BD48" s="43"/>
      <c r="BE48" s="43"/>
      <c r="BI48" s="5"/>
      <c r="BJ48" s="5"/>
      <c r="BM48" s="41"/>
      <c r="BN48" s="41"/>
      <c r="BO48" s="41"/>
      <c r="BP48" s="41"/>
      <c r="BQ48" s="43"/>
      <c r="BR48" s="54"/>
      <c r="BS48" s="41"/>
      <c r="BT48" s="41"/>
      <c r="BU48" s="41"/>
      <c r="BV48" s="41"/>
      <c r="BW48" s="43"/>
      <c r="BX48" s="54"/>
      <c r="BY48" s="41"/>
      <c r="BZ48" s="43"/>
      <c r="CA48" s="40"/>
      <c r="CB48" s="40"/>
      <c r="CC48" s="43"/>
      <c r="CD48" s="54"/>
      <c r="CE48" s="43"/>
    </row>
    <row r="49" customFormat="false" ht="14.25" hidden="false" customHeight="false" outlineLevel="0" collapsed="false">
      <c r="A49" s="40"/>
      <c r="E49" s="43"/>
      <c r="F49" s="43"/>
      <c r="H49" s="41"/>
      <c r="I49" s="41"/>
      <c r="J49" s="41"/>
      <c r="AQ49" s="41"/>
      <c r="AR49" s="41"/>
      <c r="AS49" s="41"/>
      <c r="AT49" s="41"/>
      <c r="AU49" s="41"/>
      <c r="AV49" s="41"/>
      <c r="AX49" s="41"/>
      <c r="BC49" s="41"/>
      <c r="BD49" s="43"/>
      <c r="BE49" s="43"/>
      <c r="BI49" s="5"/>
      <c r="BJ49" s="5"/>
      <c r="BM49" s="41"/>
      <c r="BN49" s="41"/>
      <c r="BO49" s="41"/>
      <c r="BP49" s="41"/>
      <c r="BQ49" s="43"/>
      <c r="BR49" s="54"/>
      <c r="BS49" s="41"/>
      <c r="BT49" s="41"/>
      <c r="BU49" s="41"/>
      <c r="BV49" s="41"/>
      <c r="BW49" s="43"/>
      <c r="BX49" s="54"/>
      <c r="BY49" s="41"/>
      <c r="BZ49" s="43"/>
      <c r="CA49" s="40"/>
      <c r="CB49" s="40"/>
      <c r="CC49" s="43"/>
      <c r="CD49" s="54"/>
      <c r="CE49" s="43"/>
    </row>
    <row r="50" customFormat="false" ht="14.25" hidden="false" customHeight="false" outlineLevel="0" collapsed="false">
      <c r="A50" s="40"/>
      <c r="E50" s="43"/>
      <c r="F50" s="43"/>
      <c r="H50" s="41"/>
      <c r="I50" s="41"/>
      <c r="J50" s="41"/>
      <c r="AQ50" s="41"/>
      <c r="AR50" s="41"/>
      <c r="AS50" s="41"/>
      <c r="AT50" s="41"/>
      <c r="AU50" s="41"/>
      <c r="AV50" s="41"/>
      <c r="AX50" s="41"/>
      <c r="BC50" s="41"/>
      <c r="BD50" s="43"/>
      <c r="BE50" s="43"/>
      <c r="BI50" s="5"/>
      <c r="BJ50" s="5"/>
      <c r="BM50" s="41"/>
      <c r="BN50" s="41"/>
      <c r="BO50" s="41"/>
      <c r="BP50" s="41"/>
      <c r="BQ50" s="43"/>
      <c r="BR50" s="54"/>
      <c r="BS50" s="41"/>
      <c r="BT50" s="41"/>
      <c r="BU50" s="41"/>
      <c r="BV50" s="41"/>
      <c r="BW50" s="43"/>
      <c r="BX50" s="54"/>
      <c r="BY50" s="41"/>
      <c r="BZ50" s="43"/>
      <c r="CA50" s="40"/>
      <c r="CB50" s="40"/>
      <c r="CC50" s="43"/>
      <c r="CD50" s="54"/>
      <c r="CE50" s="43"/>
    </row>
    <row r="51" customFormat="false" ht="14.25" hidden="false" customHeight="false" outlineLevel="0" collapsed="false">
      <c r="A51" s="40"/>
      <c r="E51" s="43"/>
      <c r="F51" s="43"/>
      <c r="H51" s="41"/>
      <c r="I51" s="41"/>
      <c r="J51" s="41"/>
      <c r="AQ51" s="41"/>
      <c r="AR51" s="41"/>
      <c r="AS51" s="41"/>
      <c r="AT51" s="41"/>
      <c r="AU51" s="41"/>
      <c r="AV51" s="41"/>
      <c r="AX51" s="41"/>
      <c r="BC51" s="41"/>
      <c r="BD51" s="43"/>
      <c r="BE51" s="43"/>
      <c r="BI51" s="5"/>
      <c r="BJ51" s="5"/>
      <c r="BM51" s="41"/>
      <c r="BN51" s="41"/>
      <c r="BO51" s="41"/>
      <c r="BP51" s="41"/>
      <c r="BQ51" s="43"/>
      <c r="BR51" s="54"/>
      <c r="BS51" s="41"/>
      <c r="BT51" s="41"/>
      <c r="BU51" s="41"/>
      <c r="BV51" s="41"/>
      <c r="BW51" s="43"/>
      <c r="BX51" s="54"/>
      <c r="BY51" s="41"/>
      <c r="BZ51" s="43"/>
      <c r="CA51" s="40"/>
      <c r="CB51" s="40"/>
      <c r="CC51" s="43"/>
      <c r="CD51" s="54"/>
      <c r="CE51" s="43"/>
    </row>
    <row r="52" customFormat="false" ht="14.25" hidden="false" customHeight="false" outlineLevel="0" collapsed="false">
      <c r="A52" s="40"/>
      <c r="E52" s="43"/>
      <c r="F52" s="43"/>
      <c r="H52" s="41"/>
      <c r="I52" s="41"/>
      <c r="J52" s="41"/>
      <c r="AQ52" s="41"/>
      <c r="AR52" s="41"/>
      <c r="AS52" s="41"/>
      <c r="AT52" s="41"/>
      <c r="AU52" s="41"/>
      <c r="AV52" s="41"/>
      <c r="AX52" s="41"/>
      <c r="BC52" s="41"/>
      <c r="BD52" s="43"/>
      <c r="BE52" s="43"/>
      <c r="BI52" s="5"/>
      <c r="BJ52" s="5"/>
      <c r="BM52" s="41"/>
      <c r="BN52" s="41"/>
      <c r="BO52" s="41"/>
      <c r="BP52" s="41"/>
      <c r="BQ52" s="43"/>
      <c r="BR52" s="54"/>
      <c r="BS52" s="41"/>
      <c r="BT52" s="41"/>
      <c r="BU52" s="41"/>
      <c r="BV52" s="41"/>
      <c r="BW52" s="43"/>
      <c r="BX52" s="54"/>
      <c r="BY52" s="41"/>
      <c r="BZ52" s="43"/>
      <c r="CA52" s="40"/>
      <c r="CB52" s="40"/>
      <c r="CC52" s="43"/>
      <c r="CD52" s="54"/>
      <c r="CE52" s="43"/>
    </row>
    <row r="53" customFormat="false" ht="14.25" hidden="false" customHeight="false" outlineLevel="0" collapsed="false">
      <c r="A53" s="40"/>
      <c r="E53" s="43"/>
      <c r="F53" s="43"/>
      <c r="H53" s="41"/>
      <c r="I53" s="41"/>
      <c r="J53" s="41"/>
      <c r="AQ53" s="41"/>
      <c r="AR53" s="41"/>
      <c r="AS53" s="41"/>
      <c r="AT53" s="41"/>
      <c r="AU53" s="41"/>
      <c r="AV53" s="41"/>
      <c r="AX53" s="41"/>
      <c r="BC53" s="41"/>
      <c r="BD53" s="43"/>
      <c r="BE53" s="43"/>
      <c r="BI53" s="5"/>
      <c r="BJ53" s="5"/>
    </row>
    <row r="54" customFormat="false" ht="14.25" hidden="false" customHeight="false" outlineLevel="0" collapsed="false">
      <c r="A54" s="40"/>
      <c r="E54" s="43"/>
      <c r="F54" s="43"/>
      <c r="H54" s="41"/>
      <c r="I54" s="41"/>
      <c r="J54" s="41"/>
      <c r="AQ54" s="41"/>
      <c r="AR54" s="41"/>
      <c r="AS54" s="41"/>
      <c r="AT54" s="41"/>
      <c r="AU54" s="41"/>
      <c r="AV54" s="41"/>
      <c r="AX54" s="41"/>
      <c r="BC54" s="41"/>
      <c r="BD54" s="43"/>
      <c r="BE54" s="43"/>
      <c r="BI54" s="5"/>
      <c r="BJ54" s="5"/>
    </row>
    <row r="55" customFormat="false" ht="14.25" hidden="false" customHeight="false" outlineLevel="0" collapsed="false">
      <c r="A55" s="40"/>
      <c r="E55" s="43"/>
      <c r="F55" s="43"/>
      <c r="H55" s="41"/>
      <c r="I55" s="41"/>
      <c r="J55" s="41"/>
      <c r="AQ55" s="41"/>
      <c r="AR55" s="41"/>
      <c r="AS55" s="41"/>
      <c r="AT55" s="41"/>
      <c r="AU55" s="41"/>
      <c r="AV55" s="41"/>
      <c r="AX55" s="41"/>
      <c r="BC55" s="41"/>
      <c r="BD55" s="43"/>
      <c r="BE55" s="43"/>
      <c r="BI55" s="5"/>
      <c r="BJ55" s="5"/>
    </row>
    <row r="56" customFormat="false" ht="14.25" hidden="false" customHeight="false" outlineLevel="0" collapsed="false">
      <c r="A56" s="40"/>
      <c r="E56" s="43"/>
      <c r="F56" s="43"/>
      <c r="H56" s="41"/>
      <c r="I56" s="41"/>
      <c r="J56" s="41"/>
      <c r="AQ56" s="41"/>
      <c r="AR56" s="41"/>
      <c r="AS56" s="41"/>
      <c r="AT56" s="41"/>
      <c r="AU56" s="41"/>
      <c r="AV56" s="41"/>
      <c r="AX56" s="41"/>
      <c r="BC56" s="41"/>
      <c r="BD56" s="43"/>
      <c r="BE56" s="43"/>
      <c r="BI56" s="5"/>
      <c r="BJ56" s="5"/>
    </row>
    <row r="57" customFormat="false" ht="14.25" hidden="false" customHeight="false" outlineLevel="0" collapsed="false">
      <c r="A57" s="40"/>
      <c r="E57" s="43"/>
      <c r="F57" s="43"/>
      <c r="H57" s="41"/>
      <c r="I57" s="41"/>
      <c r="J57" s="41"/>
      <c r="AQ57" s="41"/>
      <c r="AR57" s="41"/>
      <c r="AS57" s="41"/>
      <c r="AT57" s="41"/>
      <c r="AU57" s="41"/>
      <c r="AV57" s="41"/>
      <c r="AX57" s="41"/>
      <c r="BC57" s="41"/>
      <c r="BD57" s="43"/>
      <c r="BE57" s="43"/>
      <c r="BI57" s="5"/>
      <c r="BJ57" s="5"/>
    </row>
    <row r="58" customFormat="false" ht="14.25" hidden="false" customHeight="false" outlineLevel="0" collapsed="false">
      <c r="A58" s="40"/>
      <c r="E58" s="43"/>
      <c r="F58" s="43"/>
      <c r="H58" s="41"/>
      <c r="I58" s="41"/>
      <c r="J58" s="41"/>
      <c r="AQ58" s="41"/>
      <c r="AR58" s="41"/>
      <c r="AS58" s="41"/>
      <c r="AT58" s="41"/>
      <c r="AU58" s="41"/>
      <c r="AV58" s="41"/>
      <c r="AX58" s="41"/>
      <c r="BC58" s="41"/>
      <c r="BD58" s="43"/>
      <c r="BE58" s="43"/>
      <c r="BI58" s="5"/>
      <c r="BJ58" s="5"/>
    </row>
    <row r="59" customFormat="false" ht="14.25" hidden="false" customHeight="false" outlineLevel="0" collapsed="false">
      <c r="A59" s="40"/>
      <c r="E59" s="43"/>
      <c r="F59" s="43"/>
      <c r="H59" s="41"/>
      <c r="I59" s="41"/>
      <c r="J59" s="41"/>
      <c r="AQ59" s="41"/>
      <c r="AR59" s="41"/>
      <c r="AS59" s="41"/>
      <c r="AT59" s="41"/>
      <c r="AU59" s="41"/>
      <c r="AV59" s="41"/>
      <c r="AX59" s="41"/>
      <c r="BC59" s="41"/>
      <c r="BD59" s="43"/>
      <c r="BE59" s="43"/>
      <c r="BI59" s="5"/>
      <c r="BJ59" s="5"/>
    </row>
    <row r="60" customFormat="false" ht="14.25" hidden="false" customHeight="false" outlineLevel="0" collapsed="false">
      <c r="A60" s="40"/>
      <c r="E60" s="43"/>
      <c r="F60" s="43"/>
      <c r="H60" s="41"/>
      <c r="I60" s="41"/>
      <c r="J60" s="41"/>
      <c r="AQ60" s="41"/>
      <c r="AR60" s="41"/>
      <c r="AS60" s="41"/>
      <c r="AT60" s="41"/>
      <c r="AU60" s="41"/>
      <c r="AV60" s="41"/>
      <c r="AX60" s="41"/>
      <c r="BC60" s="41"/>
      <c r="BD60" s="43"/>
      <c r="BE60" s="43"/>
      <c r="BI60" s="5"/>
      <c r="BJ60" s="5"/>
    </row>
    <row r="61" customFormat="false" ht="14.25" hidden="false" customHeight="false" outlineLevel="0" collapsed="false">
      <c r="A61" s="40"/>
      <c r="E61" s="43"/>
      <c r="F61" s="43"/>
      <c r="H61" s="41"/>
      <c r="I61" s="41"/>
      <c r="J61" s="41"/>
      <c r="AQ61" s="41"/>
      <c r="AR61" s="41"/>
      <c r="AS61" s="41"/>
      <c r="AT61" s="41"/>
      <c r="AU61" s="41"/>
      <c r="AV61" s="41"/>
      <c r="AX61" s="41"/>
      <c r="BC61" s="41"/>
      <c r="BD61" s="43"/>
      <c r="BE61" s="43"/>
      <c r="BI61" s="5"/>
      <c r="BJ61" s="5"/>
    </row>
    <row r="62" customFormat="false" ht="14.25" hidden="false" customHeight="false" outlineLevel="0" collapsed="false">
      <c r="A62" s="40"/>
      <c r="E62" s="43"/>
      <c r="F62" s="43"/>
      <c r="H62" s="41"/>
      <c r="I62" s="41"/>
      <c r="J62" s="41"/>
      <c r="AQ62" s="41"/>
      <c r="AR62" s="41"/>
      <c r="AS62" s="41"/>
      <c r="AT62" s="41"/>
      <c r="AU62" s="41"/>
      <c r="AV62" s="41"/>
      <c r="AX62" s="41"/>
      <c r="BC62" s="41"/>
      <c r="BD62" s="43"/>
      <c r="BE62" s="43"/>
      <c r="BI62" s="5"/>
      <c r="BJ62" s="5"/>
      <c r="BM62" s="41"/>
      <c r="BN62" s="41"/>
      <c r="BO62" s="41"/>
      <c r="BP62" s="41"/>
      <c r="BQ62" s="43"/>
      <c r="BR62" s="54"/>
      <c r="BS62" s="41"/>
      <c r="BT62" s="41"/>
      <c r="BU62" s="41"/>
      <c r="BV62" s="41"/>
      <c r="BW62" s="43"/>
      <c r="BX62" s="54"/>
      <c r="BY62" s="41"/>
      <c r="BZ62" s="43"/>
      <c r="CA62" s="40"/>
      <c r="CB62" s="40"/>
      <c r="CC62" s="43"/>
      <c r="CD62" s="54"/>
      <c r="CE62" s="43"/>
    </row>
    <row r="63" customFormat="false" ht="14.25" hidden="false" customHeight="false" outlineLevel="0" collapsed="false">
      <c r="A63" s="40"/>
      <c r="E63" s="43"/>
      <c r="F63" s="43"/>
      <c r="H63" s="41"/>
      <c r="I63" s="41"/>
      <c r="J63" s="41"/>
      <c r="AQ63" s="41"/>
      <c r="AR63" s="41"/>
      <c r="AS63" s="41"/>
      <c r="AT63" s="41"/>
      <c r="AU63" s="41"/>
      <c r="AV63" s="41"/>
      <c r="AX63" s="41"/>
      <c r="BC63" s="41"/>
      <c r="BD63" s="43"/>
      <c r="BE63" s="43"/>
      <c r="BI63" s="5"/>
      <c r="BJ63" s="5"/>
      <c r="BM63" s="41"/>
      <c r="BN63" s="41"/>
      <c r="BO63" s="41"/>
      <c r="BP63" s="41"/>
      <c r="BQ63" s="43"/>
      <c r="BR63" s="54"/>
      <c r="BS63" s="41"/>
      <c r="BT63" s="41"/>
      <c r="BU63" s="41"/>
      <c r="BV63" s="41"/>
      <c r="BW63" s="43"/>
      <c r="BX63" s="54"/>
      <c r="BY63" s="41"/>
      <c r="BZ63" s="43"/>
      <c r="CA63" s="40"/>
      <c r="CB63" s="40"/>
      <c r="CC63" s="43"/>
      <c r="CD63" s="54"/>
      <c r="CE63" s="43"/>
    </row>
    <row r="64" customFormat="false" ht="14.25" hidden="false" customHeight="false" outlineLevel="0" collapsed="false">
      <c r="A64" s="40"/>
      <c r="E64" s="43"/>
      <c r="F64" s="43"/>
      <c r="H64" s="41"/>
      <c r="I64" s="41"/>
      <c r="J64" s="41"/>
      <c r="AQ64" s="41"/>
      <c r="AR64" s="41"/>
      <c r="AS64" s="41"/>
      <c r="AT64" s="41"/>
      <c r="AU64" s="41"/>
      <c r="AV64" s="41"/>
      <c r="AX64" s="41"/>
      <c r="BC64" s="41"/>
      <c r="BD64" s="43"/>
      <c r="BE64" s="43"/>
      <c r="BI64" s="5"/>
      <c r="BJ64" s="5"/>
    </row>
    <row r="65" customFormat="false" ht="14.25" hidden="false" customHeight="false" outlineLevel="0" collapsed="false">
      <c r="A65" s="40"/>
      <c r="E65" s="43"/>
      <c r="F65" s="43"/>
      <c r="H65" s="41"/>
      <c r="I65" s="41"/>
      <c r="J65" s="41"/>
      <c r="AQ65" s="41"/>
      <c r="AR65" s="41"/>
      <c r="AS65" s="41"/>
      <c r="AT65" s="41"/>
      <c r="AU65" s="41"/>
      <c r="AV65" s="41"/>
      <c r="AX65" s="41"/>
      <c r="BC65" s="41"/>
      <c r="BD65" s="43"/>
      <c r="BE65" s="43"/>
      <c r="BI65" s="5"/>
      <c r="BJ65" s="5"/>
    </row>
    <row r="66" customFormat="false" ht="14.25" hidden="false" customHeight="false" outlineLevel="0" collapsed="false">
      <c r="A66" s="40"/>
      <c r="E66" s="43"/>
      <c r="F66" s="43"/>
      <c r="H66" s="41"/>
      <c r="I66" s="41"/>
      <c r="J66" s="41"/>
      <c r="AQ66" s="41"/>
      <c r="AR66" s="41"/>
      <c r="AS66" s="41"/>
      <c r="AT66" s="41"/>
      <c r="AU66" s="41"/>
      <c r="AV66" s="41"/>
      <c r="AX66" s="41"/>
      <c r="BC66" s="41"/>
      <c r="BD66" s="43"/>
      <c r="BE66" s="43"/>
      <c r="BI66" s="5"/>
      <c r="BJ66" s="5"/>
    </row>
    <row r="67" customFormat="false" ht="14.25" hidden="false" customHeight="false" outlineLevel="0" collapsed="false">
      <c r="A67" s="40"/>
      <c r="E67" s="43"/>
      <c r="F67" s="43"/>
      <c r="H67" s="41"/>
      <c r="I67" s="41"/>
      <c r="J67" s="41"/>
      <c r="AQ67" s="41"/>
      <c r="AR67" s="41"/>
      <c r="AS67" s="41"/>
      <c r="AT67" s="41"/>
      <c r="AU67" s="41"/>
      <c r="AV67" s="41"/>
      <c r="AX67" s="41"/>
      <c r="BC67" s="41"/>
      <c r="BD67" s="43"/>
      <c r="BE67" s="43"/>
      <c r="BI67" s="5"/>
      <c r="BJ67" s="5"/>
    </row>
    <row r="68" customFormat="false" ht="14.25" hidden="false" customHeight="false" outlineLevel="0" collapsed="false">
      <c r="A68" s="40"/>
      <c r="E68" s="43"/>
      <c r="F68" s="43"/>
      <c r="H68" s="41"/>
      <c r="I68" s="41"/>
      <c r="J68" s="41"/>
      <c r="AQ68" s="41"/>
      <c r="AR68" s="41"/>
      <c r="AS68" s="41"/>
      <c r="AT68" s="41"/>
      <c r="AU68" s="41"/>
      <c r="AV68" s="41"/>
      <c r="AX68" s="41"/>
      <c r="BC68" s="41"/>
      <c r="BD68" s="43"/>
      <c r="BE68" s="43"/>
      <c r="BI68" s="5"/>
      <c r="BJ68" s="5"/>
    </row>
    <row r="69" customFormat="false" ht="14.25" hidden="false" customHeight="false" outlineLevel="0" collapsed="false">
      <c r="A69" s="40"/>
      <c r="E69" s="43"/>
      <c r="F69" s="43"/>
      <c r="H69" s="41"/>
      <c r="I69" s="41"/>
      <c r="J69" s="41"/>
      <c r="AQ69" s="41"/>
      <c r="AR69" s="41"/>
      <c r="AS69" s="41"/>
      <c r="AT69" s="41"/>
      <c r="AU69" s="41"/>
      <c r="AV69" s="41"/>
      <c r="AX69" s="41"/>
      <c r="BC69" s="41"/>
      <c r="BD69" s="43"/>
      <c r="BE69" s="43"/>
      <c r="BI69" s="5"/>
      <c r="BJ69" s="5"/>
    </row>
    <row r="70" customFormat="false" ht="14.25" hidden="false" customHeight="false" outlineLevel="0" collapsed="false">
      <c r="A70" s="40"/>
      <c r="E70" s="43"/>
      <c r="F70" s="43"/>
      <c r="H70" s="41"/>
      <c r="I70" s="41"/>
      <c r="J70" s="41"/>
      <c r="AQ70" s="41"/>
      <c r="AR70" s="41"/>
      <c r="AS70" s="41"/>
      <c r="AT70" s="41"/>
      <c r="AU70" s="41"/>
      <c r="AV70" s="41"/>
      <c r="AX70" s="41"/>
      <c r="BC70" s="41"/>
      <c r="BD70" s="43"/>
      <c r="BE70" s="43"/>
      <c r="BI70" s="5"/>
      <c r="BJ70" s="5"/>
    </row>
    <row r="71" customFormat="false" ht="14.25" hidden="false" customHeight="false" outlineLevel="0" collapsed="false">
      <c r="A71" s="40"/>
      <c r="E71" s="43"/>
      <c r="F71" s="43"/>
      <c r="H71" s="41"/>
      <c r="I71" s="41"/>
      <c r="J71" s="41"/>
      <c r="AQ71" s="41"/>
      <c r="AR71" s="41"/>
      <c r="AS71" s="41"/>
      <c r="AT71" s="41"/>
      <c r="AU71" s="41"/>
      <c r="AV71" s="41"/>
      <c r="AX71" s="41"/>
      <c r="BC71" s="41"/>
      <c r="BD71" s="43"/>
      <c r="BE71" s="43"/>
      <c r="BI71" s="5"/>
      <c r="BJ71" s="5"/>
    </row>
    <row r="72" customFormat="false" ht="14.25" hidden="false" customHeight="false" outlineLevel="0" collapsed="false">
      <c r="A72" s="40"/>
      <c r="E72" s="43"/>
      <c r="F72" s="43"/>
      <c r="H72" s="41"/>
      <c r="I72" s="41"/>
      <c r="J72" s="41"/>
      <c r="AQ72" s="41"/>
      <c r="AR72" s="41"/>
      <c r="AS72" s="41"/>
      <c r="AT72" s="41"/>
      <c r="AU72" s="41"/>
      <c r="AV72" s="41"/>
      <c r="AX72" s="41"/>
      <c r="BC72" s="41"/>
      <c r="BD72" s="43"/>
      <c r="BE72" s="43"/>
      <c r="BI72" s="5"/>
      <c r="BJ72" s="5"/>
    </row>
    <row r="73" customFormat="false" ht="14.25" hidden="false" customHeight="false" outlineLevel="0" collapsed="false">
      <c r="A73" s="40"/>
      <c r="E73" s="43"/>
      <c r="F73" s="43"/>
      <c r="H73" s="41"/>
      <c r="I73" s="41"/>
      <c r="J73" s="41"/>
      <c r="AQ73" s="41"/>
      <c r="AR73" s="41"/>
      <c r="AS73" s="41"/>
      <c r="AT73" s="41"/>
      <c r="AU73" s="41"/>
      <c r="AV73" s="41"/>
      <c r="AX73" s="41"/>
      <c r="BC73" s="41"/>
      <c r="BD73" s="43"/>
      <c r="BE73" s="43"/>
      <c r="BI73" s="5"/>
      <c r="BJ73" s="5"/>
    </row>
    <row r="74" customFormat="false" ht="14.25" hidden="false" customHeight="false" outlineLevel="0" collapsed="false">
      <c r="A74" s="40"/>
      <c r="E74" s="43"/>
      <c r="F74" s="43"/>
      <c r="H74" s="41"/>
      <c r="I74" s="41"/>
      <c r="J74" s="41"/>
      <c r="AQ74" s="41"/>
      <c r="AR74" s="41"/>
      <c r="AS74" s="41"/>
      <c r="AT74" s="41"/>
      <c r="AU74" s="41"/>
      <c r="AV74" s="41"/>
      <c r="AX74" s="41"/>
      <c r="BC74" s="41"/>
      <c r="BD74" s="43"/>
      <c r="BE74" s="43"/>
      <c r="BI74" s="5"/>
      <c r="BJ74" s="5"/>
    </row>
    <row r="75" customFormat="false" ht="14.25" hidden="false" customHeight="false" outlineLevel="0" collapsed="false">
      <c r="A75" s="40"/>
      <c r="E75" s="43"/>
      <c r="F75" s="43"/>
      <c r="H75" s="41"/>
      <c r="I75" s="41"/>
      <c r="J75" s="41"/>
      <c r="AQ75" s="41"/>
      <c r="AR75" s="41"/>
      <c r="AS75" s="41"/>
      <c r="AT75" s="41"/>
      <c r="AU75" s="41"/>
      <c r="AV75" s="41"/>
      <c r="AX75" s="41"/>
      <c r="BC75" s="41"/>
      <c r="BD75" s="43"/>
      <c r="BE75" s="43"/>
      <c r="BI75" s="5"/>
      <c r="BJ75" s="5"/>
    </row>
    <row r="76" customFormat="false" ht="14.25" hidden="false" customHeight="false" outlineLevel="0" collapsed="false">
      <c r="A76" s="40"/>
      <c r="E76" s="43"/>
      <c r="F76" s="43"/>
      <c r="H76" s="41"/>
      <c r="I76" s="41"/>
      <c r="J76" s="41"/>
      <c r="AQ76" s="41"/>
      <c r="AR76" s="41"/>
      <c r="AS76" s="41"/>
      <c r="AT76" s="41"/>
      <c r="AU76" s="41"/>
      <c r="AV76" s="41"/>
      <c r="AX76" s="41"/>
      <c r="BC76" s="41"/>
      <c r="BD76" s="43"/>
      <c r="BE76" s="43"/>
      <c r="BI76" s="5"/>
      <c r="BJ76" s="5"/>
    </row>
    <row r="77" customFormat="false" ht="14.25" hidden="false" customHeight="false" outlineLevel="0" collapsed="false">
      <c r="A77" s="40"/>
      <c r="E77" s="43"/>
      <c r="F77" s="43"/>
      <c r="H77" s="41"/>
      <c r="I77" s="41"/>
      <c r="J77" s="41"/>
      <c r="AQ77" s="41"/>
      <c r="AR77" s="41"/>
      <c r="AS77" s="41"/>
      <c r="AT77" s="41"/>
      <c r="AU77" s="41"/>
      <c r="AV77" s="41"/>
      <c r="AX77" s="41"/>
      <c r="BC77" s="41"/>
      <c r="BD77" s="43"/>
      <c r="BE77" s="43"/>
      <c r="BI77" s="5"/>
      <c r="BJ77" s="5"/>
    </row>
    <row r="78" customFormat="false" ht="14.25" hidden="false" customHeight="false" outlineLevel="0" collapsed="false">
      <c r="A78" s="40"/>
      <c r="E78" s="43"/>
      <c r="F78" s="43"/>
      <c r="H78" s="41"/>
      <c r="I78" s="41"/>
      <c r="J78" s="41"/>
      <c r="AQ78" s="41"/>
      <c r="AR78" s="41"/>
      <c r="AS78" s="41"/>
      <c r="AT78" s="41"/>
      <c r="AU78" s="41"/>
      <c r="AV78" s="41"/>
      <c r="AX78" s="41"/>
      <c r="BC78" s="41"/>
      <c r="BD78" s="43"/>
      <c r="BE78" s="43"/>
      <c r="BI78" s="5"/>
      <c r="BJ78" s="5"/>
    </row>
    <row r="79" customFormat="false" ht="14.25" hidden="false" customHeight="false" outlineLevel="0" collapsed="false">
      <c r="A79" s="40"/>
      <c r="E79" s="43"/>
      <c r="F79" s="43"/>
      <c r="H79" s="41"/>
      <c r="I79" s="41"/>
      <c r="J79" s="41"/>
      <c r="AQ79" s="41"/>
      <c r="AR79" s="41"/>
      <c r="AS79" s="41"/>
      <c r="AT79" s="41"/>
      <c r="AU79" s="41"/>
      <c r="AV79" s="41"/>
      <c r="AX79" s="41"/>
      <c r="BC79" s="41"/>
      <c r="BD79" s="43"/>
      <c r="BE79" s="43"/>
      <c r="BI79" s="5"/>
      <c r="BJ79" s="5"/>
    </row>
    <row r="80" customFormat="false" ht="14.25" hidden="false" customHeight="false" outlineLevel="0" collapsed="false">
      <c r="A80" s="40"/>
      <c r="E80" s="43"/>
      <c r="F80" s="43"/>
      <c r="H80" s="41"/>
      <c r="I80" s="41"/>
      <c r="J80" s="41"/>
      <c r="AQ80" s="41"/>
      <c r="AR80" s="41"/>
      <c r="AS80" s="41"/>
      <c r="AT80" s="41"/>
      <c r="AU80" s="41"/>
      <c r="AV80" s="41"/>
      <c r="AX80" s="41"/>
      <c r="BC80" s="41"/>
      <c r="BD80" s="43"/>
      <c r="BE80" s="43"/>
      <c r="BI80" s="5"/>
      <c r="BJ80" s="5"/>
    </row>
    <row r="81" customFormat="false" ht="14.25" hidden="false" customHeight="false" outlineLevel="0" collapsed="false">
      <c r="A81" s="40"/>
      <c r="E81" s="43"/>
      <c r="F81" s="43"/>
      <c r="H81" s="41"/>
      <c r="I81" s="41"/>
      <c r="J81" s="41"/>
      <c r="AQ81" s="41"/>
      <c r="AR81" s="41"/>
      <c r="AS81" s="41"/>
      <c r="AT81" s="41"/>
      <c r="AU81" s="41"/>
      <c r="AV81" s="41"/>
      <c r="AX81" s="41"/>
      <c r="BC81" s="41"/>
      <c r="BD81" s="43"/>
      <c r="BE81" s="43"/>
      <c r="BI81" s="5"/>
      <c r="BJ81" s="5"/>
    </row>
    <row r="82" customFormat="false" ht="14.25" hidden="false" customHeight="false" outlineLevel="0" collapsed="false">
      <c r="A82" s="40"/>
      <c r="E82" s="43"/>
      <c r="F82" s="43"/>
      <c r="H82" s="41"/>
      <c r="I82" s="41"/>
      <c r="J82" s="41"/>
      <c r="AQ82" s="41"/>
      <c r="AR82" s="41"/>
      <c r="AS82" s="41"/>
      <c r="AT82" s="41"/>
      <c r="AU82" s="41"/>
      <c r="AV82" s="41"/>
      <c r="AX82" s="41"/>
      <c r="BC82" s="41"/>
      <c r="BD82" s="43"/>
      <c r="BE82" s="43"/>
      <c r="BI82" s="5"/>
      <c r="BJ82" s="5"/>
    </row>
    <row r="83" customFormat="false" ht="14.25" hidden="false" customHeight="false" outlineLevel="0" collapsed="false">
      <c r="A83" s="40"/>
      <c r="E83" s="43"/>
      <c r="F83" s="43"/>
      <c r="H83" s="41"/>
      <c r="I83" s="41"/>
      <c r="J83" s="41"/>
      <c r="AQ83" s="41"/>
      <c r="AR83" s="41"/>
      <c r="AS83" s="41"/>
      <c r="AT83" s="41"/>
      <c r="AU83" s="41"/>
      <c r="AV83" s="41"/>
      <c r="AX83" s="41"/>
      <c r="BC83" s="41"/>
      <c r="BD83" s="43"/>
      <c r="BE83" s="43"/>
      <c r="BI83" s="5"/>
      <c r="BJ83" s="5"/>
    </row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DC20"/>
  <conditionalFormatting sqref="AK3:AK20 AM3:AN20">
    <cfRule type="containsText" priority="2" operator="containsText" aboveAverage="0" equalAverage="0" bottom="0" percent="0" rank="0" text="TBC" dxfId="10">
      <formula>NOT(ISERROR(SEARCH("TBC",AK3)))</formula>
    </cfRule>
  </conditionalFormatting>
  <dataValidations count="1">
    <dataValidation allowBlank="true" errorStyle="stop" operator="equal" showDropDown="false" showErrorMessage="true" showInputMessage="true" sqref="B3:B16" type="list">
      <formula1>Clientes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V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1" activeCellId="0" sqref="A21"/>
    </sheetView>
  </sheetViews>
  <sheetFormatPr defaultColWidth="8.4453125" defaultRowHeight="11.2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7.11"/>
    <col collapsed="false" customWidth="true" hidden="false" outlineLevel="0" max="3" min="3" style="2" width="12.44"/>
    <col collapsed="false" customWidth="true" hidden="false" outlineLevel="0" max="4" min="4" style="10" width="12.44"/>
    <col collapsed="false" customWidth="true" hidden="false" outlineLevel="0" max="5" min="5" style="10" width="8.11"/>
    <col collapsed="false" customWidth="true" hidden="false" outlineLevel="0" max="6" min="6" style="10" width="8.33"/>
    <col collapsed="false" customWidth="true" hidden="false" outlineLevel="0" max="7" min="7" style="1" width="17"/>
    <col collapsed="false" customWidth="true" hidden="false" outlineLevel="0" max="8" min="8" style="1" width="7.66"/>
    <col collapsed="false" customWidth="true" hidden="false" outlineLevel="0" max="9" min="9" style="1" width="14.44"/>
    <col collapsed="false" customWidth="true" hidden="false" outlineLevel="0" max="10" min="10" style="1" width="7"/>
    <col collapsed="false" customWidth="true" hidden="false" outlineLevel="0" max="11" min="11" style="2" width="17.33"/>
    <col collapsed="false" customWidth="true" hidden="false" outlineLevel="0" max="12" min="12" style="2" width="14.44"/>
    <col collapsed="false" customWidth="true" hidden="false" outlineLevel="0" max="13" min="13" style="1" width="11"/>
    <col collapsed="false" customWidth="true" hidden="false" outlineLevel="0" max="14" min="14" style="2" width="11.11"/>
    <col collapsed="false" customWidth="true" hidden="false" outlineLevel="0" max="15" min="15" style="2" width="16.66"/>
    <col collapsed="false" customWidth="true" hidden="false" outlineLevel="0" max="16" min="16" style="1" width="9.66"/>
    <col collapsed="false" customWidth="true" hidden="false" outlineLevel="0" max="17" min="17" style="10" width="9"/>
    <col collapsed="false" customWidth="true" hidden="false" outlineLevel="0" max="18" min="18" style="11" width="13"/>
    <col collapsed="false" customWidth="true" hidden="false" outlineLevel="0" max="19" min="19" style="11" width="13.44"/>
    <col collapsed="false" customWidth="true" hidden="false" outlineLevel="0" max="20" min="20" style="11" width="16"/>
    <col collapsed="false" customWidth="true" hidden="false" outlineLevel="0" max="21" min="21" style="11" width="13.55"/>
    <col collapsed="false" customWidth="true" hidden="false" outlineLevel="0" max="22" min="22" style="11" width="23.45"/>
    <col collapsed="false" customWidth="true" hidden="false" outlineLevel="0" max="23" min="23" style="11" width="14.11"/>
    <col collapsed="false" customWidth="true" hidden="false" outlineLevel="0" max="24" min="24" style="1" width="14.66"/>
    <col collapsed="false" customWidth="true" hidden="false" outlineLevel="0" max="25" min="25" style="2" width="13.66"/>
    <col collapsed="false" customWidth="true" hidden="false" outlineLevel="0" max="26" min="26" style="3" width="15.11"/>
    <col collapsed="false" customWidth="true" hidden="false" outlineLevel="0" max="27" min="27" style="11" width="15.11"/>
    <col collapsed="false" customWidth="true" hidden="false" outlineLevel="0" max="28" min="28" style="11" width="21"/>
    <col collapsed="false" customWidth="true" hidden="false" outlineLevel="0" max="29" min="29" style="5" width="17.33"/>
    <col collapsed="false" customWidth="true" hidden="false" outlineLevel="0" max="30" min="30" style="66" width="17.33"/>
    <col collapsed="false" customWidth="true" hidden="false" outlineLevel="0" max="31" min="31" style="67" width="10.55"/>
    <col collapsed="false" customWidth="true" hidden="false" outlineLevel="0" max="32" min="32" style="11" width="11.44"/>
    <col collapsed="false" customWidth="true" hidden="false" outlineLevel="0" max="34" min="33" style="11" width="11.66"/>
    <col collapsed="false" customWidth="true" hidden="false" outlineLevel="0" max="35" min="35" style="2" width="12"/>
    <col collapsed="false" customWidth="true" hidden="false" outlineLevel="0" max="36" min="36" style="11" width="12"/>
    <col collapsed="false" customWidth="true" hidden="false" outlineLevel="0" max="37" min="37" style="68" width="13.55"/>
    <col collapsed="false" customWidth="true" hidden="false" outlineLevel="0" max="38" min="38" style="11" width="15.11"/>
    <col collapsed="false" customWidth="true" hidden="false" outlineLevel="0" max="39" min="39" style="69" width="8.66"/>
    <col collapsed="false" customWidth="true" hidden="false" outlineLevel="0" max="40" min="40" style="69" width="9"/>
    <col collapsed="false" customWidth="true" hidden="false" outlineLevel="0" max="41" min="41" style="11" width="14.11"/>
    <col collapsed="false" customWidth="true" hidden="false" outlineLevel="0" max="42" min="42" style="11" width="13.89"/>
    <col collapsed="false" customWidth="true" hidden="false" outlineLevel="0" max="43" min="43" style="11" width="18"/>
    <col collapsed="false" customWidth="true" hidden="false" outlineLevel="0" max="44" min="44" style="69" width="8.66"/>
    <col collapsed="false" customWidth="true" hidden="false" outlineLevel="0" max="45" min="45" style="69" width="9.87"/>
    <col collapsed="false" customWidth="true" hidden="false" outlineLevel="0" max="46" min="46" style="11" width="16.11"/>
    <col collapsed="false" customWidth="true" hidden="false" outlineLevel="0" max="47" min="47" style="11" width="17.89"/>
    <col collapsed="false" customWidth="true" hidden="false" outlineLevel="0" max="48" min="48" style="11" width="13.44"/>
    <col collapsed="false" customWidth="true" hidden="false" outlineLevel="0" max="49" min="49" style="69" width="8.66"/>
    <col collapsed="false" customWidth="true" hidden="false" outlineLevel="0" max="50" min="50" style="69" width="9.87"/>
    <col collapsed="false" customWidth="true" hidden="false" outlineLevel="0" max="52" min="51" style="11" width="13.89"/>
    <col collapsed="false" customWidth="true" hidden="false" outlineLevel="0" max="53" min="53" style="1" width="11.33"/>
    <col collapsed="false" customWidth="true" hidden="false" outlineLevel="0" max="54" min="54" style="1" width="16.55"/>
    <col collapsed="false" customWidth="true" hidden="false" outlineLevel="0" max="55" min="55" style="1" width="10.55"/>
    <col collapsed="false" customWidth="true" hidden="false" outlineLevel="0" max="56" min="56" style="1" width="17.44"/>
    <col collapsed="false" customWidth="true" hidden="false" outlineLevel="0" max="57" min="57" style="5" width="13"/>
    <col collapsed="false" customWidth="true" hidden="false" outlineLevel="0" max="58" min="58" style="5" width="14"/>
    <col collapsed="false" customWidth="true" hidden="false" outlineLevel="0" max="59" min="59" style="1" width="11.11"/>
    <col collapsed="false" customWidth="true" hidden="false" outlineLevel="0" max="60" min="60" style="1" width="17.44"/>
    <col collapsed="false" customWidth="true" hidden="false" outlineLevel="0" max="61" min="61" style="1" width="9.87"/>
    <col collapsed="false" customWidth="true" hidden="false" outlineLevel="0" max="62" min="62" style="10" width="17.11"/>
    <col collapsed="false" customWidth="true" hidden="false" outlineLevel="0" max="63" min="63" style="5" width="11.66"/>
    <col collapsed="false" customWidth="true" hidden="false" outlineLevel="0" max="64" min="64" style="6" width="13.33"/>
    <col collapsed="false" customWidth="true" hidden="false" outlineLevel="0" max="65" min="65" style="1" width="14.11"/>
    <col collapsed="false" customWidth="true" hidden="false" outlineLevel="0" max="66" min="66" style="10" width="15.55"/>
    <col collapsed="false" customWidth="true" hidden="false" outlineLevel="0" max="67" min="67" style="1" width="10.66"/>
    <col collapsed="false" customWidth="true" hidden="false" outlineLevel="0" max="68" min="68" style="1" width="16"/>
    <col collapsed="false" customWidth="true" hidden="false" outlineLevel="0" max="69" min="69" style="10" width="12.11"/>
    <col collapsed="false" customWidth="true" hidden="false" outlineLevel="0" max="70" min="70" style="6" width="14.66"/>
    <col collapsed="false" customWidth="true" hidden="false" outlineLevel="0" max="71" min="71" style="10" width="11"/>
    <col collapsed="false" customWidth="true" hidden="false" outlineLevel="0" max="72" min="72" style="10" width="12.66"/>
    <col collapsed="false" customWidth="true" hidden="false" outlineLevel="0" max="73" min="73" style="10" width="9.66"/>
    <col collapsed="false" customWidth="true" hidden="false" outlineLevel="0" max="74" min="74" style="10" width="12.78"/>
    <col collapsed="false" customWidth="true" hidden="false" outlineLevel="0" max="75" min="75" style="10" width="10.44"/>
    <col collapsed="false" customWidth="true" hidden="false" outlineLevel="0" max="76" min="76" style="6" width="13"/>
    <col collapsed="false" customWidth="true" hidden="false" outlineLevel="0" max="77" min="77" style="1" width="19.33"/>
    <col collapsed="false" customWidth="true" hidden="false" outlineLevel="0" max="78" min="78" style="11" width="18.67"/>
    <col collapsed="false" customWidth="true" hidden="false" outlineLevel="0" max="79" min="79" style="69" width="11"/>
    <col collapsed="false" customWidth="true" hidden="false" outlineLevel="0" max="80" min="80" style="69" width="10.33"/>
    <col collapsed="false" customWidth="true" hidden="false" outlineLevel="0" max="81" min="81" style="11" width="9.44"/>
    <col collapsed="false" customWidth="true" hidden="false" outlineLevel="0" max="82" min="82" style="11" width="30.11"/>
    <col collapsed="false" customWidth="true" hidden="false" outlineLevel="0" max="83" min="83" style="69" width="11.89"/>
    <col collapsed="false" customWidth="true" hidden="false" outlineLevel="0" max="84" min="84" style="69" width="11.11"/>
    <col collapsed="false" customWidth="true" hidden="false" outlineLevel="0" max="85" min="85" style="11" width="10.44"/>
    <col collapsed="false" customWidth="true" hidden="false" outlineLevel="0" max="86" min="86" style="11" width="28.33"/>
    <col collapsed="false" customWidth="true" hidden="false" outlineLevel="0" max="87" min="87" style="11" width="11.89"/>
    <col collapsed="false" customWidth="true" hidden="false" outlineLevel="0" max="88" min="88" style="11" width="11.11"/>
    <col collapsed="false" customWidth="true" hidden="false" outlineLevel="0" max="89" min="89" style="11" width="10.44"/>
    <col collapsed="false" customWidth="true" hidden="false" outlineLevel="0" max="90" min="90" style="1" width="12.44"/>
    <col collapsed="false" customWidth="true" hidden="false" outlineLevel="0" max="91" min="91" style="1" width="9.87"/>
    <col collapsed="false" customWidth="true" hidden="false" outlineLevel="0" max="92" min="92" style="1" width="12.44"/>
    <col collapsed="false" customWidth="false" hidden="false" outlineLevel="0" max="93" min="93" style="4" width="8.44"/>
    <col collapsed="false" customWidth="true" hidden="false" outlineLevel="0" max="94" min="94" style="1" width="11.33"/>
    <col collapsed="false" customWidth="true" hidden="false" outlineLevel="0" max="95" min="95" style="11" width="10.11"/>
    <col collapsed="false" customWidth="false" hidden="false" outlineLevel="0" max="1024" min="96" style="11" width="8.44"/>
  </cols>
  <sheetData>
    <row r="1" customFormat="false" ht="11.25" hidden="false" customHeight="true" outlineLevel="0" collapsed="false">
      <c r="A1" s="12" t="s">
        <v>0</v>
      </c>
      <c r="B1" s="12" t="s">
        <v>1</v>
      </c>
      <c r="C1" s="13" t="s">
        <v>312</v>
      </c>
      <c r="D1" s="70" t="s">
        <v>313</v>
      </c>
      <c r="E1" s="70" t="s">
        <v>4</v>
      </c>
      <c r="F1" s="70" t="s">
        <v>5</v>
      </c>
      <c r="G1" s="12" t="s">
        <v>314</v>
      </c>
      <c r="H1" s="12" t="s">
        <v>7</v>
      </c>
      <c r="I1" s="16" t="s">
        <v>315</v>
      </c>
      <c r="J1" s="16" t="s">
        <v>9</v>
      </c>
      <c r="K1" s="17" t="s">
        <v>10</v>
      </c>
      <c r="L1" s="17" t="s">
        <v>11</v>
      </c>
      <c r="M1" s="33" t="s">
        <v>12</v>
      </c>
      <c r="N1" s="17" t="s">
        <v>316</v>
      </c>
      <c r="O1" s="17" t="s">
        <v>14</v>
      </c>
      <c r="P1" s="18" t="s">
        <v>15</v>
      </c>
      <c r="Q1" s="71" t="s">
        <v>16</v>
      </c>
      <c r="R1" s="23" t="s">
        <v>17</v>
      </c>
      <c r="S1" s="23" t="s">
        <v>18</v>
      </c>
      <c r="T1" s="23" t="s">
        <v>19</v>
      </c>
      <c r="U1" s="23" t="s">
        <v>20</v>
      </c>
      <c r="V1" s="12" t="s">
        <v>39</v>
      </c>
      <c r="W1" s="12" t="s">
        <v>40</v>
      </c>
      <c r="X1" s="12" t="s">
        <v>41</v>
      </c>
      <c r="Y1" s="17" t="s">
        <v>36</v>
      </c>
      <c r="Z1" s="72" t="s">
        <v>37</v>
      </c>
      <c r="AA1" s="73" t="s">
        <v>38</v>
      </c>
      <c r="AB1" s="16" t="s">
        <v>33</v>
      </c>
      <c r="AC1" s="25" t="s">
        <v>34</v>
      </c>
      <c r="AD1" s="74" t="s">
        <v>35</v>
      </c>
      <c r="AE1" s="17" t="s">
        <v>42</v>
      </c>
      <c r="AF1" s="33" t="s">
        <v>43</v>
      </c>
      <c r="AG1" s="33" t="s">
        <v>44</v>
      </c>
      <c r="AH1" s="33" t="s">
        <v>45</v>
      </c>
      <c r="AI1" s="17" t="s">
        <v>46</v>
      </c>
      <c r="AJ1" s="33" t="s">
        <v>47</v>
      </c>
      <c r="AK1" s="14" t="s">
        <v>48</v>
      </c>
      <c r="AL1" s="12" t="s">
        <v>49</v>
      </c>
      <c r="AM1" s="31" t="s">
        <v>50</v>
      </c>
      <c r="AN1" s="31" t="s">
        <v>51</v>
      </c>
      <c r="AO1" s="12" t="s">
        <v>52</v>
      </c>
      <c r="AP1" s="12" t="s">
        <v>53</v>
      </c>
      <c r="AQ1" s="12" t="s">
        <v>54</v>
      </c>
      <c r="AR1" s="31" t="s">
        <v>55</v>
      </c>
      <c r="AS1" s="31" t="s">
        <v>56</v>
      </c>
      <c r="AT1" s="12" t="s">
        <v>57</v>
      </c>
      <c r="AU1" s="12" t="s">
        <v>58</v>
      </c>
      <c r="AV1" s="12" t="s">
        <v>59</v>
      </c>
      <c r="AW1" s="31" t="s">
        <v>60</v>
      </c>
      <c r="AX1" s="31" t="s">
        <v>61</v>
      </c>
      <c r="AY1" s="12" t="s">
        <v>62</v>
      </c>
      <c r="AZ1" s="12" t="s">
        <v>63</v>
      </c>
      <c r="BA1" s="33" t="s">
        <v>64</v>
      </c>
      <c r="BB1" s="33" t="s">
        <v>65</v>
      </c>
      <c r="BC1" s="33" t="s">
        <v>66</v>
      </c>
      <c r="BD1" s="33" t="s">
        <v>67</v>
      </c>
      <c r="BE1" s="35" t="s">
        <v>68</v>
      </c>
      <c r="BF1" s="35" t="s">
        <v>69</v>
      </c>
      <c r="BG1" s="33" t="s">
        <v>70</v>
      </c>
      <c r="BH1" s="33" t="s">
        <v>71</v>
      </c>
      <c r="BI1" s="33" t="s">
        <v>72</v>
      </c>
      <c r="BJ1" s="33" t="s">
        <v>73</v>
      </c>
      <c r="BK1" s="35" t="s">
        <v>74</v>
      </c>
      <c r="BL1" s="75" t="s">
        <v>75</v>
      </c>
      <c r="BM1" s="33" t="s">
        <v>76</v>
      </c>
      <c r="BN1" s="33" t="s">
        <v>77</v>
      </c>
      <c r="BO1" s="33" t="s">
        <v>78</v>
      </c>
      <c r="BP1" s="33" t="s">
        <v>79</v>
      </c>
      <c r="BQ1" s="35" t="s">
        <v>80</v>
      </c>
      <c r="BR1" s="75" t="s">
        <v>81</v>
      </c>
      <c r="BS1" s="33" t="s">
        <v>82</v>
      </c>
      <c r="BT1" s="33" t="s">
        <v>83</v>
      </c>
      <c r="BU1" s="33" t="s">
        <v>84</v>
      </c>
      <c r="BV1" s="33" t="s">
        <v>85</v>
      </c>
      <c r="BW1" s="35" t="s">
        <v>86</v>
      </c>
      <c r="BX1" s="75" t="s">
        <v>87</v>
      </c>
      <c r="BY1" s="12" t="s">
        <v>88</v>
      </c>
      <c r="BZ1" s="76" t="s">
        <v>89</v>
      </c>
      <c r="CA1" s="77" t="s">
        <v>90</v>
      </c>
      <c r="CB1" s="77" t="s">
        <v>91</v>
      </c>
      <c r="CC1" s="76" t="s">
        <v>92</v>
      </c>
      <c r="CD1" s="76" t="s">
        <v>93</v>
      </c>
      <c r="CE1" s="77" t="s">
        <v>94</v>
      </c>
      <c r="CF1" s="77" t="s">
        <v>95</v>
      </c>
      <c r="CG1" s="76" t="s">
        <v>96</v>
      </c>
      <c r="CH1" s="76" t="s">
        <v>97</v>
      </c>
      <c r="CI1" s="76" t="s">
        <v>98</v>
      </c>
      <c r="CJ1" s="76" t="s">
        <v>99</v>
      </c>
      <c r="CK1" s="76" t="s">
        <v>100</v>
      </c>
      <c r="CL1" s="36" t="s">
        <v>101</v>
      </c>
      <c r="CM1" s="36" t="s">
        <v>102</v>
      </c>
      <c r="CN1" s="37" t="s">
        <v>103</v>
      </c>
      <c r="CO1" s="38" t="s">
        <v>104</v>
      </c>
      <c r="CP1" s="37" t="s">
        <v>105</v>
      </c>
      <c r="CQ1" s="37" t="s">
        <v>106</v>
      </c>
    </row>
    <row r="2" customFormat="false" ht="11.25" hidden="false" customHeight="true" outlineLevel="0" collapsed="false">
      <c r="A2" s="12" t="s">
        <v>107</v>
      </c>
      <c r="B2" s="12" t="s">
        <v>108</v>
      </c>
      <c r="C2" s="13" t="s">
        <v>109</v>
      </c>
      <c r="D2" s="70" t="s">
        <v>110</v>
      </c>
      <c r="E2" s="70" t="s">
        <v>110</v>
      </c>
      <c r="F2" s="70" t="s">
        <v>110</v>
      </c>
      <c r="G2" s="12" t="s">
        <v>111</v>
      </c>
      <c r="H2" s="12" t="s">
        <v>141</v>
      </c>
      <c r="I2" s="16" t="s">
        <v>113</v>
      </c>
      <c r="J2" s="16" t="s">
        <v>113</v>
      </c>
      <c r="K2" s="17" t="s">
        <v>114</v>
      </c>
      <c r="L2" s="17" t="s">
        <v>115</v>
      </c>
      <c r="M2" s="33" t="s">
        <v>317</v>
      </c>
      <c r="N2" s="17" t="s">
        <v>117</v>
      </c>
      <c r="O2" s="17" t="s">
        <v>118</v>
      </c>
      <c r="P2" s="18" t="s">
        <v>119</v>
      </c>
      <c r="Q2" s="71" t="s">
        <v>110</v>
      </c>
      <c r="R2" s="23" t="s">
        <v>120</v>
      </c>
      <c r="S2" s="23" t="s">
        <v>120</v>
      </c>
      <c r="T2" s="23" t="s">
        <v>120</v>
      </c>
      <c r="U2" s="23" t="s">
        <v>120</v>
      </c>
      <c r="V2" s="12" t="s">
        <v>121</v>
      </c>
      <c r="W2" s="12" t="s">
        <v>110</v>
      </c>
      <c r="X2" s="12" t="s">
        <v>122</v>
      </c>
      <c r="Y2" s="17" t="s">
        <v>121</v>
      </c>
      <c r="Z2" s="72" t="s">
        <v>110</v>
      </c>
      <c r="AA2" s="73" t="s">
        <v>122</v>
      </c>
      <c r="AB2" s="16" t="s">
        <v>121</v>
      </c>
      <c r="AC2" s="25" t="s">
        <v>110</v>
      </c>
      <c r="AD2" s="74" t="s">
        <v>122</v>
      </c>
      <c r="AE2" s="17" t="s">
        <v>123</v>
      </c>
      <c r="AF2" s="33" t="s">
        <v>124</v>
      </c>
      <c r="AG2" s="33" t="s">
        <v>125</v>
      </c>
      <c r="AH2" s="33" t="s">
        <v>126</v>
      </c>
      <c r="AI2" s="17" t="s">
        <v>127</v>
      </c>
      <c r="AJ2" s="33" t="s">
        <v>128</v>
      </c>
      <c r="AK2" s="14" t="s">
        <v>129</v>
      </c>
      <c r="AL2" s="12" t="s">
        <v>130</v>
      </c>
      <c r="AM2" s="31" t="s">
        <v>110</v>
      </c>
      <c r="AN2" s="31" t="s">
        <v>110</v>
      </c>
      <c r="AO2" s="12" t="s">
        <v>131</v>
      </c>
      <c r="AP2" s="12" t="s">
        <v>132</v>
      </c>
      <c r="AQ2" s="12" t="s">
        <v>130</v>
      </c>
      <c r="AR2" s="31" t="s">
        <v>110</v>
      </c>
      <c r="AS2" s="31" t="s">
        <v>110</v>
      </c>
      <c r="AT2" s="12" t="s">
        <v>131</v>
      </c>
      <c r="AU2" s="12" t="s">
        <v>132</v>
      </c>
      <c r="AV2" s="12" t="s">
        <v>130</v>
      </c>
      <c r="AW2" s="31" t="s">
        <v>110</v>
      </c>
      <c r="AX2" s="31" t="s">
        <v>110</v>
      </c>
      <c r="AY2" s="12" t="s">
        <v>131</v>
      </c>
      <c r="AZ2" s="12" t="s">
        <v>132</v>
      </c>
      <c r="BA2" s="33" t="s">
        <v>133</v>
      </c>
      <c r="BB2" s="33" t="s">
        <v>134</v>
      </c>
      <c r="BC2" s="33" t="s">
        <v>135</v>
      </c>
      <c r="BD2" s="33" t="s">
        <v>134</v>
      </c>
      <c r="BE2" s="35" t="s">
        <v>110</v>
      </c>
      <c r="BF2" s="39" t="n">
        <v>0.0423611111111111</v>
      </c>
      <c r="BG2" s="33" t="s">
        <v>133</v>
      </c>
      <c r="BH2" s="33" t="s">
        <v>134</v>
      </c>
      <c r="BI2" s="33" t="s">
        <v>135</v>
      </c>
      <c r="BJ2" s="33" t="s">
        <v>134</v>
      </c>
      <c r="BK2" s="35" t="s">
        <v>110</v>
      </c>
      <c r="BL2" s="39" t="n">
        <v>0.0423611111111111</v>
      </c>
      <c r="BM2" s="33" t="s">
        <v>133</v>
      </c>
      <c r="BN2" s="33" t="s">
        <v>134</v>
      </c>
      <c r="BO2" s="33" t="s">
        <v>135</v>
      </c>
      <c r="BP2" s="33" t="s">
        <v>134</v>
      </c>
      <c r="BQ2" s="35" t="s">
        <v>110</v>
      </c>
      <c r="BR2" s="39" t="n">
        <v>0.0423611111111111</v>
      </c>
      <c r="BS2" s="33" t="s">
        <v>133</v>
      </c>
      <c r="BT2" s="33" t="s">
        <v>134</v>
      </c>
      <c r="BU2" s="33" t="s">
        <v>135</v>
      </c>
      <c r="BV2" s="33" t="s">
        <v>134</v>
      </c>
      <c r="BW2" s="35" t="s">
        <v>110</v>
      </c>
      <c r="BX2" s="39" t="n">
        <v>0.0423611111111111</v>
      </c>
      <c r="BY2" s="12" t="s">
        <v>136</v>
      </c>
      <c r="BZ2" s="76" t="s">
        <v>137</v>
      </c>
      <c r="CA2" s="77" t="s">
        <v>110</v>
      </c>
      <c r="CB2" s="77" t="s">
        <v>110</v>
      </c>
      <c r="CC2" s="76" t="s">
        <v>138</v>
      </c>
      <c r="CD2" s="76" t="s">
        <v>137</v>
      </c>
      <c r="CE2" s="77" t="s">
        <v>110</v>
      </c>
      <c r="CF2" s="77" t="s">
        <v>110</v>
      </c>
      <c r="CG2" s="76" t="s">
        <v>138</v>
      </c>
      <c r="CH2" s="76" t="s">
        <v>137</v>
      </c>
      <c r="CI2" s="76" t="s">
        <v>110</v>
      </c>
      <c r="CJ2" s="76" t="s">
        <v>110</v>
      </c>
      <c r="CK2" s="76" t="s">
        <v>138</v>
      </c>
      <c r="CL2" s="36" t="s">
        <v>107</v>
      </c>
      <c r="CM2" s="36" t="s">
        <v>107</v>
      </c>
      <c r="CN2" s="37" t="s">
        <v>107</v>
      </c>
      <c r="CO2" s="38" t="s">
        <v>110</v>
      </c>
      <c r="CP2" s="37" t="s">
        <v>135</v>
      </c>
      <c r="CQ2" s="37" t="s">
        <v>139</v>
      </c>
    </row>
    <row r="3" s="58" customFormat="true" ht="11.25" hidden="false" customHeight="true" outlineLevel="0" collapsed="false">
      <c r="A3" s="40" t="s">
        <v>140</v>
      </c>
      <c r="B3" s="40" t="s">
        <v>108</v>
      </c>
      <c r="C3" s="78" t="s">
        <v>109</v>
      </c>
      <c r="D3" s="79"/>
      <c r="E3" s="43" t="n">
        <v>45662</v>
      </c>
      <c r="F3" s="43" t="n">
        <v>45662</v>
      </c>
      <c r="G3" s="40" t="s">
        <v>318</v>
      </c>
      <c r="H3" s="41" t="s">
        <v>141</v>
      </c>
      <c r="I3" s="41" t="s">
        <v>113</v>
      </c>
      <c r="J3" s="41" t="s">
        <v>113</v>
      </c>
      <c r="K3" s="78" t="s">
        <v>319</v>
      </c>
      <c r="L3" s="78" t="s">
        <v>320</v>
      </c>
      <c r="M3" s="40" t="s">
        <v>144</v>
      </c>
      <c r="N3" s="78" t="s">
        <v>321</v>
      </c>
      <c r="O3" s="78" t="s">
        <v>168</v>
      </c>
      <c r="P3" s="80" t="s">
        <v>322</v>
      </c>
      <c r="Q3" s="56" t="n">
        <v>27543</v>
      </c>
      <c r="R3" s="78"/>
      <c r="S3" s="78"/>
      <c r="T3" s="78"/>
      <c r="U3" s="40"/>
      <c r="V3" s="78" t="s">
        <v>323</v>
      </c>
      <c r="W3" s="56" t="n">
        <v>45662</v>
      </c>
      <c r="X3" s="40" t="s">
        <v>324</v>
      </c>
      <c r="Y3" s="78" t="s">
        <v>325</v>
      </c>
      <c r="Z3" s="56" t="n">
        <v>45663</v>
      </c>
      <c r="AA3" s="81" t="n">
        <v>0.165972222222222</v>
      </c>
      <c r="AB3" s="78" t="s">
        <v>326</v>
      </c>
      <c r="AC3" s="56" t="n">
        <v>45663</v>
      </c>
      <c r="AD3" s="82" t="n">
        <v>0.506944444444444</v>
      </c>
      <c r="AE3" s="78" t="s">
        <v>327</v>
      </c>
      <c r="AF3" s="83" t="s">
        <v>128</v>
      </c>
      <c r="AG3" s="58" t="s">
        <v>125</v>
      </c>
      <c r="AH3" s="58" t="s">
        <v>126</v>
      </c>
      <c r="AI3" s="83" t="s">
        <v>123</v>
      </c>
      <c r="AJ3" s="84" t="s">
        <v>124</v>
      </c>
      <c r="AK3" s="40" t="n">
        <v>3</v>
      </c>
      <c r="AL3" s="83" t="s">
        <v>161</v>
      </c>
      <c r="AM3" s="84"/>
      <c r="AN3" s="40"/>
      <c r="AO3" s="56"/>
      <c r="AP3" s="85" t="s">
        <v>161</v>
      </c>
      <c r="AQ3" s="42" t="s">
        <v>161</v>
      </c>
      <c r="AR3" s="41"/>
      <c r="AS3" s="41"/>
      <c r="AT3" s="41"/>
      <c r="AU3" s="42"/>
      <c r="AV3" s="42" t="s">
        <v>161</v>
      </c>
      <c r="AW3" s="80"/>
      <c r="AX3" s="41"/>
      <c r="AY3" s="56"/>
      <c r="AZ3" s="83" t="s">
        <v>161</v>
      </c>
      <c r="BA3" s="40" t="s">
        <v>248</v>
      </c>
      <c r="BB3" s="40" t="s">
        <v>164</v>
      </c>
      <c r="BC3" s="41" t="s">
        <v>248</v>
      </c>
      <c r="BD3" s="43" t="s">
        <v>162</v>
      </c>
      <c r="BE3" s="43" t="n">
        <f aca="false">W3</f>
        <v>45662</v>
      </c>
      <c r="BF3" s="86" t="n">
        <v>0.333333333333333</v>
      </c>
      <c r="BG3" s="40" t="s">
        <v>161</v>
      </c>
      <c r="BH3" s="40"/>
      <c r="BI3" s="56"/>
      <c r="BJ3" s="56"/>
      <c r="BK3" s="40"/>
      <c r="BL3" s="82" t="n">
        <v>0.833333333333332</v>
      </c>
      <c r="BM3" s="40" t="s">
        <v>161</v>
      </c>
      <c r="BN3" s="40"/>
      <c r="BO3" s="40"/>
      <c r="BP3" s="40"/>
      <c r="BQ3" s="56"/>
      <c r="BR3" s="56"/>
      <c r="BS3" s="40" t="s">
        <v>161</v>
      </c>
      <c r="BT3" s="40"/>
      <c r="BU3" s="40"/>
      <c r="BV3" s="57"/>
      <c r="BW3" s="40"/>
      <c r="BX3" s="57"/>
      <c r="BY3" s="40"/>
      <c r="BZ3" s="57"/>
      <c r="CA3" s="40"/>
      <c r="CB3" s="40"/>
      <c r="CC3" s="57"/>
      <c r="CD3" s="57"/>
      <c r="CE3" s="57"/>
      <c r="CF3" s="57"/>
      <c r="CG3" s="57"/>
      <c r="CH3" s="57"/>
      <c r="CI3" s="57"/>
      <c r="CJ3" s="57"/>
      <c r="CK3" s="40"/>
      <c r="CL3" s="40"/>
      <c r="CM3" s="56"/>
      <c r="CN3" s="56"/>
      <c r="CO3" s="40"/>
      <c r="CP3" s="40"/>
      <c r="CQ3" s="40"/>
      <c r="CR3" s="40"/>
      <c r="CS3" s="40"/>
      <c r="CT3" s="40"/>
      <c r="CU3" s="57"/>
      <c r="CV3" s="40"/>
    </row>
    <row r="4" s="58" customFormat="true" ht="11.25" hidden="false" customHeight="true" outlineLevel="0" collapsed="false">
      <c r="A4" s="40" t="s">
        <v>140</v>
      </c>
      <c r="B4" s="40" t="s">
        <v>108</v>
      </c>
      <c r="C4" s="78" t="s">
        <v>109</v>
      </c>
      <c r="D4" s="57"/>
      <c r="E4" s="57" t="n">
        <v>45662</v>
      </c>
      <c r="F4" s="57" t="n">
        <v>45662</v>
      </c>
      <c r="G4" s="40" t="s">
        <v>318</v>
      </c>
      <c r="H4" s="41" t="s">
        <v>141</v>
      </c>
      <c r="I4" s="41" t="s">
        <v>113</v>
      </c>
      <c r="J4" s="41" t="s">
        <v>113</v>
      </c>
      <c r="K4" s="78" t="s">
        <v>328</v>
      </c>
      <c r="L4" s="78" t="s">
        <v>329</v>
      </c>
      <c r="M4" s="40" t="s">
        <v>144</v>
      </c>
      <c r="N4" s="78" t="s">
        <v>212</v>
      </c>
      <c r="O4" s="78" t="s">
        <v>213</v>
      </c>
      <c r="P4" s="78" t="s">
        <v>330</v>
      </c>
      <c r="Q4" s="57" t="n">
        <v>23994</v>
      </c>
      <c r="V4" s="58" t="s">
        <v>323</v>
      </c>
      <c r="W4" s="56" t="n">
        <v>45662</v>
      </c>
      <c r="X4" s="40" t="s">
        <v>324</v>
      </c>
      <c r="Y4" s="78" t="s">
        <v>325</v>
      </c>
      <c r="Z4" s="56" t="n">
        <v>45663</v>
      </c>
      <c r="AA4" s="81" t="n">
        <v>0.165972222222222</v>
      </c>
      <c r="AB4" s="58" t="s">
        <v>331</v>
      </c>
      <c r="AC4" s="56" t="n">
        <v>45663</v>
      </c>
      <c r="AD4" s="87" t="n">
        <v>0.548611111111111</v>
      </c>
      <c r="AE4" s="88" t="s">
        <v>327</v>
      </c>
      <c r="AF4" s="58" t="s">
        <v>128</v>
      </c>
      <c r="AG4" s="58" t="s">
        <v>125</v>
      </c>
      <c r="AH4" s="58" t="s">
        <v>126</v>
      </c>
      <c r="AI4" s="83" t="s">
        <v>123</v>
      </c>
      <c r="AJ4" s="58" t="s">
        <v>124</v>
      </c>
      <c r="AK4" s="89" t="n">
        <v>3</v>
      </c>
      <c r="AL4" s="58" t="s">
        <v>161</v>
      </c>
      <c r="AM4" s="90"/>
      <c r="AN4" s="90"/>
      <c r="AO4" s="40"/>
      <c r="AP4" s="58" t="s">
        <v>161</v>
      </c>
      <c r="AQ4" s="58" t="s">
        <v>161</v>
      </c>
      <c r="AR4" s="90"/>
      <c r="AS4" s="90"/>
      <c r="AU4" s="78"/>
      <c r="AV4" s="78" t="s">
        <v>161</v>
      </c>
      <c r="AW4" s="90"/>
      <c r="AX4" s="90"/>
      <c r="AZ4" s="58" t="s">
        <v>161</v>
      </c>
      <c r="BA4" s="40" t="s">
        <v>248</v>
      </c>
      <c r="BB4" s="40" t="s">
        <v>164</v>
      </c>
      <c r="BC4" s="41" t="s">
        <v>248</v>
      </c>
      <c r="BD4" s="43" t="s">
        <v>162</v>
      </c>
      <c r="BE4" s="43" t="n">
        <f aca="false">W4</f>
        <v>45662</v>
      </c>
      <c r="BF4" s="86" t="n">
        <v>0.375</v>
      </c>
      <c r="BG4" s="40" t="s">
        <v>161</v>
      </c>
      <c r="BH4" s="41"/>
      <c r="BI4" s="44"/>
      <c r="BJ4" s="44"/>
      <c r="BK4" s="56"/>
      <c r="BL4" s="82" t="n">
        <v>0.875</v>
      </c>
      <c r="BM4" s="41" t="s">
        <v>161</v>
      </c>
      <c r="BN4" s="43"/>
      <c r="BO4" s="41"/>
      <c r="BP4" s="40"/>
      <c r="BQ4" s="43"/>
      <c r="BR4" s="43"/>
      <c r="BS4" s="43" t="s">
        <v>161</v>
      </c>
      <c r="BT4" s="43"/>
      <c r="BU4" s="43"/>
      <c r="BV4" s="43"/>
      <c r="BW4" s="43"/>
      <c r="BX4" s="54"/>
      <c r="BY4" s="40"/>
      <c r="CA4" s="90"/>
      <c r="CB4" s="90"/>
      <c r="CE4" s="90"/>
      <c r="CF4" s="90"/>
      <c r="CL4" s="40"/>
      <c r="CM4" s="40"/>
      <c r="CN4" s="40"/>
      <c r="CO4" s="80"/>
      <c r="CP4" s="40"/>
    </row>
    <row r="5" s="58" customFormat="true" ht="11.25" hidden="false" customHeight="true" outlineLevel="0" collapsed="false">
      <c r="A5" s="40" t="s">
        <v>140</v>
      </c>
      <c r="B5" s="40" t="s">
        <v>108</v>
      </c>
      <c r="C5" s="78" t="s">
        <v>109</v>
      </c>
      <c r="D5" s="57"/>
      <c r="E5" s="57" t="n">
        <v>45662</v>
      </c>
      <c r="F5" s="57" t="n">
        <v>45662</v>
      </c>
      <c r="G5" s="40" t="s">
        <v>318</v>
      </c>
      <c r="H5" s="41" t="s">
        <v>141</v>
      </c>
      <c r="I5" s="41" t="s">
        <v>113</v>
      </c>
      <c r="J5" s="41" t="s">
        <v>113</v>
      </c>
      <c r="K5" s="78" t="s">
        <v>332</v>
      </c>
      <c r="L5" s="78" t="s">
        <v>333</v>
      </c>
      <c r="M5" s="40" t="s">
        <v>144</v>
      </c>
      <c r="N5" s="78" t="s">
        <v>334</v>
      </c>
      <c r="O5" s="78" t="s">
        <v>190</v>
      </c>
      <c r="P5" s="78" t="s">
        <v>335</v>
      </c>
      <c r="Q5" s="57" t="n">
        <v>30820</v>
      </c>
      <c r="V5" s="58" t="s">
        <v>323</v>
      </c>
      <c r="W5" s="56" t="n">
        <v>45662</v>
      </c>
      <c r="X5" s="40" t="s">
        <v>324</v>
      </c>
      <c r="Y5" s="78" t="s">
        <v>336</v>
      </c>
      <c r="Z5" s="56" t="n">
        <v>45662</v>
      </c>
      <c r="AA5" s="81" t="n">
        <v>0.999305555555556</v>
      </c>
      <c r="AB5" s="58" t="s">
        <v>337</v>
      </c>
      <c r="AC5" s="56" t="n">
        <v>45663</v>
      </c>
      <c r="AD5" s="87" t="n">
        <v>0.21875</v>
      </c>
      <c r="AE5" s="88" t="s">
        <v>327</v>
      </c>
      <c r="AF5" s="58" t="s">
        <v>128</v>
      </c>
      <c r="AG5" s="58" t="s">
        <v>125</v>
      </c>
      <c r="AH5" s="58" t="s">
        <v>126</v>
      </c>
      <c r="AI5" s="83" t="s">
        <v>123</v>
      </c>
      <c r="AJ5" s="58" t="s">
        <v>124</v>
      </c>
      <c r="AK5" s="89" t="n">
        <v>3</v>
      </c>
      <c r="AL5" s="58" t="s">
        <v>161</v>
      </c>
      <c r="AM5" s="90"/>
      <c r="AN5" s="90"/>
      <c r="AO5" s="40"/>
      <c r="AP5" s="58" t="s">
        <v>161</v>
      </c>
      <c r="AQ5" s="58" t="s">
        <v>161</v>
      </c>
      <c r="AR5" s="90"/>
      <c r="AS5" s="90"/>
      <c r="AU5" s="78"/>
      <c r="AV5" s="78" t="s">
        <v>161</v>
      </c>
      <c r="AW5" s="90"/>
      <c r="AX5" s="90"/>
      <c r="AZ5" s="58" t="s">
        <v>161</v>
      </c>
      <c r="BA5" s="40" t="s">
        <v>248</v>
      </c>
      <c r="BB5" s="40" t="s">
        <v>164</v>
      </c>
      <c r="BC5" s="41" t="s">
        <v>248</v>
      </c>
      <c r="BD5" s="43" t="s">
        <v>162</v>
      </c>
      <c r="BE5" s="43" t="n">
        <f aca="false">W5</f>
        <v>45662</v>
      </c>
      <c r="BF5" s="86" t="n">
        <v>0.416666666666667</v>
      </c>
      <c r="BG5" s="40" t="s">
        <v>161</v>
      </c>
      <c r="BH5" s="41"/>
      <c r="BI5" s="44"/>
      <c r="BJ5" s="44"/>
      <c r="BK5" s="44"/>
      <c r="BL5" s="82" t="n">
        <v>0.916666666666664</v>
      </c>
      <c r="BM5" s="41" t="s">
        <v>161</v>
      </c>
      <c r="BN5" s="43"/>
      <c r="BO5" s="41"/>
      <c r="BP5" s="40"/>
      <c r="BQ5" s="43"/>
      <c r="BR5" s="43"/>
      <c r="BS5" s="43" t="s">
        <v>161</v>
      </c>
      <c r="BT5" s="43"/>
      <c r="BU5" s="43"/>
      <c r="BV5" s="43"/>
      <c r="BW5" s="43"/>
      <c r="BX5" s="54"/>
      <c r="BY5" s="40"/>
      <c r="CA5" s="90"/>
      <c r="CB5" s="90"/>
      <c r="CE5" s="90"/>
      <c r="CF5" s="90"/>
      <c r="CL5" s="40"/>
      <c r="CM5" s="40"/>
      <c r="CN5" s="40"/>
      <c r="CO5" s="80"/>
      <c r="CP5" s="40"/>
    </row>
    <row r="6" s="58" customFormat="true" ht="11.25" hidden="false" customHeight="true" outlineLevel="0" collapsed="false">
      <c r="A6" s="40" t="s">
        <v>140</v>
      </c>
      <c r="B6" s="40" t="s">
        <v>108</v>
      </c>
      <c r="C6" s="78" t="s">
        <v>109</v>
      </c>
      <c r="D6" s="57"/>
      <c r="E6" s="57" t="n">
        <v>45662</v>
      </c>
      <c r="F6" s="57" t="n">
        <v>45662</v>
      </c>
      <c r="G6" s="40" t="s">
        <v>318</v>
      </c>
      <c r="H6" s="41" t="s">
        <v>141</v>
      </c>
      <c r="I6" s="41" t="s">
        <v>113</v>
      </c>
      <c r="J6" s="41" t="s">
        <v>113</v>
      </c>
      <c r="K6" s="78" t="s">
        <v>338</v>
      </c>
      <c r="L6" s="78" t="s">
        <v>339</v>
      </c>
      <c r="M6" s="40" t="s">
        <v>144</v>
      </c>
      <c r="N6" s="78" t="s">
        <v>340</v>
      </c>
      <c r="O6" s="78" t="s">
        <v>341</v>
      </c>
      <c r="P6" s="78" t="s">
        <v>342</v>
      </c>
      <c r="Q6" s="57" t="n">
        <v>35055</v>
      </c>
      <c r="V6" s="58" t="s">
        <v>323</v>
      </c>
      <c r="W6" s="56" t="n">
        <v>45662</v>
      </c>
      <c r="X6" s="40" t="s">
        <v>324</v>
      </c>
      <c r="Y6" s="78" t="s">
        <v>336</v>
      </c>
      <c r="Z6" s="56" t="n">
        <v>45662</v>
      </c>
      <c r="AA6" s="81" t="n">
        <v>0.999305555555556</v>
      </c>
      <c r="AB6" s="58" t="s">
        <v>343</v>
      </c>
      <c r="AC6" s="56" t="n">
        <v>45663</v>
      </c>
      <c r="AD6" s="87" t="n">
        <v>0.381944444444444</v>
      </c>
      <c r="AE6" s="88" t="s">
        <v>327</v>
      </c>
      <c r="AF6" s="58" t="s">
        <v>128</v>
      </c>
      <c r="AG6" s="58" t="s">
        <v>125</v>
      </c>
      <c r="AH6" s="58" t="s">
        <v>126</v>
      </c>
      <c r="AI6" s="83" t="s">
        <v>123</v>
      </c>
      <c r="AJ6" s="58" t="s">
        <v>124</v>
      </c>
      <c r="AK6" s="89" t="n">
        <v>2</v>
      </c>
      <c r="AL6" s="58" t="s">
        <v>161</v>
      </c>
      <c r="AM6" s="90"/>
      <c r="AN6" s="90"/>
      <c r="AO6" s="40"/>
      <c r="AP6" s="58" t="s">
        <v>161</v>
      </c>
      <c r="AQ6" s="58" t="s">
        <v>161</v>
      </c>
      <c r="AR6" s="90"/>
      <c r="AS6" s="90"/>
      <c r="AU6" s="78"/>
      <c r="AV6" s="78" t="s">
        <v>161</v>
      </c>
      <c r="AW6" s="90"/>
      <c r="AX6" s="90"/>
      <c r="AZ6" s="58" t="s">
        <v>161</v>
      </c>
      <c r="BA6" s="40" t="s">
        <v>248</v>
      </c>
      <c r="BB6" s="40" t="s">
        <v>164</v>
      </c>
      <c r="BC6" s="41" t="s">
        <v>248</v>
      </c>
      <c r="BD6" s="43" t="s">
        <v>162</v>
      </c>
      <c r="BE6" s="43" t="n">
        <f aca="false">W6</f>
        <v>45662</v>
      </c>
      <c r="BF6" s="86" t="n">
        <v>0.458333333333333</v>
      </c>
      <c r="BG6" s="40" t="s">
        <v>161</v>
      </c>
      <c r="BH6" s="41"/>
      <c r="BI6" s="44"/>
      <c r="BJ6" s="44"/>
      <c r="BK6" s="44"/>
      <c r="BL6" s="82" t="n">
        <v>0.958333333333332</v>
      </c>
      <c r="BM6" s="41" t="s">
        <v>161</v>
      </c>
      <c r="BN6" s="43"/>
      <c r="BO6" s="41"/>
      <c r="BP6" s="40"/>
      <c r="BQ6" s="43"/>
      <c r="BR6" s="43"/>
      <c r="BS6" s="43" t="s">
        <v>161</v>
      </c>
      <c r="BT6" s="43"/>
      <c r="BU6" s="43"/>
      <c r="BV6" s="43"/>
      <c r="BW6" s="43"/>
      <c r="BX6" s="54"/>
      <c r="BY6" s="40"/>
      <c r="CA6" s="90"/>
      <c r="CB6" s="90"/>
      <c r="CE6" s="90"/>
      <c r="CF6" s="90"/>
      <c r="CL6" s="40"/>
      <c r="CM6" s="40"/>
      <c r="CN6" s="40"/>
      <c r="CO6" s="80"/>
      <c r="CP6" s="40"/>
    </row>
    <row r="7" s="58" customFormat="true" ht="11.25" hidden="false" customHeight="true" outlineLevel="0" collapsed="false">
      <c r="A7" s="40" t="s">
        <v>140</v>
      </c>
      <c r="B7" s="40" t="s">
        <v>108</v>
      </c>
      <c r="C7" s="78" t="s">
        <v>109</v>
      </c>
      <c r="D7" s="57"/>
      <c r="E7" s="57" t="n">
        <v>45662</v>
      </c>
      <c r="F7" s="57" t="n">
        <v>45662</v>
      </c>
      <c r="G7" s="40" t="s">
        <v>318</v>
      </c>
      <c r="H7" s="41" t="s">
        <v>141</v>
      </c>
      <c r="I7" s="41" t="s">
        <v>113</v>
      </c>
      <c r="J7" s="41" t="s">
        <v>113</v>
      </c>
      <c r="K7" s="78" t="s">
        <v>344</v>
      </c>
      <c r="L7" s="78" t="s">
        <v>345</v>
      </c>
      <c r="M7" s="40" t="s">
        <v>144</v>
      </c>
      <c r="N7" s="78" t="s">
        <v>346</v>
      </c>
      <c r="O7" s="78" t="s">
        <v>347</v>
      </c>
      <c r="P7" s="78" t="s">
        <v>348</v>
      </c>
      <c r="Q7" s="57" t="n">
        <v>34558</v>
      </c>
      <c r="V7" s="58" t="s">
        <v>323</v>
      </c>
      <c r="W7" s="56" t="n">
        <v>45662</v>
      </c>
      <c r="X7" s="40" t="s">
        <v>324</v>
      </c>
      <c r="Y7" s="78" t="s">
        <v>349</v>
      </c>
      <c r="Z7" s="56" t="n">
        <v>45662</v>
      </c>
      <c r="AA7" s="81" t="n">
        <v>0.354166666666667</v>
      </c>
      <c r="AB7" s="58" t="s">
        <v>350</v>
      </c>
      <c r="AC7" s="56" t="n">
        <v>45663</v>
      </c>
      <c r="AD7" s="87" t="n">
        <v>0.527777777777778</v>
      </c>
      <c r="AE7" s="88" t="s">
        <v>327</v>
      </c>
      <c r="AF7" s="58" t="s">
        <v>128</v>
      </c>
      <c r="AG7" s="58" t="s">
        <v>125</v>
      </c>
      <c r="AH7" s="58" t="s">
        <v>126</v>
      </c>
      <c r="AI7" s="83" t="s">
        <v>123</v>
      </c>
      <c r="AJ7" s="58" t="s">
        <v>124</v>
      </c>
      <c r="AK7" s="89"/>
      <c r="AL7" s="58" t="s">
        <v>161</v>
      </c>
      <c r="AM7" s="90"/>
      <c r="AN7" s="90"/>
      <c r="AO7" s="40"/>
      <c r="AP7" s="58" t="s">
        <v>161</v>
      </c>
      <c r="AQ7" s="58" t="s">
        <v>161</v>
      </c>
      <c r="AR7" s="90"/>
      <c r="AS7" s="90"/>
      <c r="AU7" s="78"/>
      <c r="AV7" s="78" t="s">
        <v>351</v>
      </c>
      <c r="AW7" s="90" t="n">
        <v>45662</v>
      </c>
      <c r="AX7" s="90" t="n">
        <v>45663</v>
      </c>
      <c r="AY7" s="58" t="s">
        <v>159</v>
      </c>
      <c r="AZ7" s="58" t="s">
        <v>352</v>
      </c>
      <c r="BA7" s="40" t="s">
        <v>248</v>
      </c>
      <c r="BB7" s="40" t="s">
        <v>164</v>
      </c>
      <c r="BC7" s="41" t="s">
        <v>248</v>
      </c>
      <c r="BD7" s="43" t="s">
        <v>162</v>
      </c>
      <c r="BE7" s="43" t="n">
        <f aca="false">W7</f>
        <v>45662</v>
      </c>
      <c r="BF7" s="86" t="n">
        <v>0.5</v>
      </c>
      <c r="BG7" s="40" t="s">
        <v>161</v>
      </c>
      <c r="BH7" s="41"/>
      <c r="BI7" s="44"/>
      <c r="BJ7" s="44"/>
      <c r="BK7" s="44"/>
      <c r="BL7" s="82" t="n">
        <v>1.77635683940025E-015</v>
      </c>
      <c r="BM7" s="41" t="s">
        <v>161</v>
      </c>
      <c r="BN7" s="43"/>
      <c r="BO7" s="41"/>
      <c r="BP7" s="40"/>
      <c r="BQ7" s="43"/>
      <c r="BR7" s="43"/>
      <c r="BS7" s="43" t="s">
        <v>161</v>
      </c>
      <c r="BT7" s="43"/>
      <c r="BU7" s="43"/>
      <c r="BV7" s="43"/>
      <c r="BW7" s="43"/>
      <c r="BX7" s="54"/>
      <c r="BY7" s="40"/>
      <c r="CA7" s="90"/>
      <c r="CB7" s="90"/>
      <c r="CE7" s="90"/>
      <c r="CF7" s="90"/>
      <c r="CL7" s="40"/>
      <c r="CM7" s="40"/>
      <c r="CN7" s="40"/>
      <c r="CO7" s="80"/>
      <c r="CP7" s="40"/>
    </row>
    <row r="8" s="58" customFormat="true" ht="11.25" hidden="false" customHeight="true" outlineLevel="0" collapsed="false">
      <c r="A8" s="40" t="s">
        <v>140</v>
      </c>
      <c r="B8" s="40" t="s">
        <v>108</v>
      </c>
      <c r="C8" s="78" t="s">
        <v>109</v>
      </c>
      <c r="D8" s="57"/>
      <c r="E8" s="57" t="n">
        <v>45662</v>
      </c>
      <c r="F8" s="57" t="n">
        <v>45662</v>
      </c>
      <c r="G8" s="40" t="s">
        <v>318</v>
      </c>
      <c r="H8" s="41" t="s">
        <v>141</v>
      </c>
      <c r="I8" s="41" t="s">
        <v>113</v>
      </c>
      <c r="J8" s="41" t="s">
        <v>113</v>
      </c>
      <c r="K8" s="78" t="s">
        <v>353</v>
      </c>
      <c r="L8" s="78" t="s">
        <v>354</v>
      </c>
      <c r="M8" s="40" t="s">
        <v>144</v>
      </c>
      <c r="N8" s="78" t="s">
        <v>355</v>
      </c>
      <c r="O8" s="78" t="s">
        <v>356</v>
      </c>
      <c r="P8" s="78" t="s">
        <v>357</v>
      </c>
      <c r="Q8" s="57" t="n">
        <v>35094</v>
      </c>
      <c r="V8" s="58" t="s">
        <v>323</v>
      </c>
      <c r="W8" s="57" t="n">
        <v>45662</v>
      </c>
      <c r="X8" s="82" t="s">
        <v>324</v>
      </c>
      <c r="Y8" s="78" t="s">
        <v>358</v>
      </c>
      <c r="Z8" s="57" t="n">
        <v>45664</v>
      </c>
      <c r="AA8" s="81" t="n">
        <v>0.197222222222222</v>
      </c>
      <c r="AB8" s="58" t="s">
        <v>359</v>
      </c>
      <c r="AC8" s="56" t="n">
        <v>45664</v>
      </c>
      <c r="AD8" s="87" t="n">
        <v>0.548611111111111</v>
      </c>
      <c r="AE8" s="42" t="s">
        <v>327</v>
      </c>
      <c r="AF8" s="42" t="s">
        <v>128</v>
      </c>
      <c r="AG8" s="58" t="s">
        <v>125</v>
      </c>
      <c r="AH8" s="58" t="s">
        <v>126</v>
      </c>
      <c r="AI8" s="83" t="s">
        <v>123</v>
      </c>
      <c r="AJ8" s="58" t="s">
        <v>124</v>
      </c>
      <c r="AK8" s="89" t="n">
        <v>3</v>
      </c>
      <c r="AL8" s="58" t="s">
        <v>158</v>
      </c>
      <c r="AM8" s="90" t="n">
        <v>45662</v>
      </c>
      <c r="AN8" s="90" t="n">
        <v>45664</v>
      </c>
      <c r="AO8" s="40" t="s">
        <v>186</v>
      </c>
      <c r="AP8" s="58" t="s">
        <v>360</v>
      </c>
      <c r="AQ8" s="58" t="s">
        <v>161</v>
      </c>
      <c r="AR8" s="90"/>
      <c r="AS8" s="90"/>
      <c r="AU8" s="78"/>
      <c r="AV8" s="78" t="s">
        <v>161</v>
      </c>
      <c r="AW8" s="90"/>
      <c r="AX8" s="90"/>
      <c r="AZ8" s="58" t="s">
        <v>161</v>
      </c>
      <c r="BA8" s="40" t="s">
        <v>248</v>
      </c>
      <c r="BB8" s="40" t="s">
        <v>164</v>
      </c>
      <c r="BC8" s="41" t="s">
        <v>248</v>
      </c>
      <c r="BD8" s="43" t="s">
        <v>162</v>
      </c>
      <c r="BE8" s="43" t="n">
        <f aca="false">W8</f>
        <v>45662</v>
      </c>
      <c r="BF8" s="86" t="n">
        <v>0.541666666666667</v>
      </c>
      <c r="BG8" s="40" t="s">
        <v>361</v>
      </c>
      <c r="BH8" s="41" t="s">
        <v>269</v>
      </c>
      <c r="BI8" s="44" t="s">
        <v>135</v>
      </c>
      <c r="BJ8" s="44" t="s">
        <v>163</v>
      </c>
      <c r="BK8" s="44" t="n">
        <f aca="false">AM8</f>
        <v>45662</v>
      </c>
      <c r="BL8" s="82" t="n">
        <v>0.0416666666666661</v>
      </c>
      <c r="BM8" s="41" t="s">
        <v>362</v>
      </c>
      <c r="BN8" s="43" t="s">
        <v>163</v>
      </c>
      <c r="BO8" s="41" t="s">
        <v>135</v>
      </c>
      <c r="BP8" s="40" t="s">
        <v>162</v>
      </c>
      <c r="BQ8" s="43" t="n">
        <f aca="false">W8</f>
        <v>45662</v>
      </c>
      <c r="BR8" s="43" t="str">
        <f aca="false">X8</f>
        <v>18:45 19:30</v>
      </c>
      <c r="BS8" s="43" t="s">
        <v>161</v>
      </c>
      <c r="BT8" s="43"/>
      <c r="BU8" s="43"/>
      <c r="BV8" s="43"/>
      <c r="BW8" s="43"/>
      <c r="BX8" s="54"/>
      <c r="BY8" s="40"/>
      <c r="CA8" s="90"/>
      <c r="CB8" s="90"/>
      <c r="CE8" s="90"/>
      <c r="CF8" s="90"/>
      <c r="CL8" s="40"/>
      <c r="CM8" s="40"/>
      <c r="CN8" s="40"/>
      <c r="CO8" s="80"/>
      <c r="CP8" s="40"/>
    </row>
    <row r="9" s="58" customFormat="true" ht="11.25" hidden="false" customHeight="true" outlineLevel="0" collapsed="false">
      <c r="A9" s="40" t="s">
        <v>140</v>
      </c>
      <c r="B9" s="40" t="s">
        <v>108</v>
      </c>
      <c r="C9" s="78" t="s">
        <v>228</v>
      </c>
      <c r="D9" s="57"/>
      <c r="E9" s="57" t="n">
        <v>45663</v>
      </c>
      <c r="F9" s="57" t="n">
        <v>45663</v>
      </c>
      <c r="G9" s="40" t="s">
        <v>363</v>
      </c>
      <c r="H9" s="41" t="s">
        <v>141</v>
      </c>
      <c r="I9" s="41" t="s">
        <v>113</v>
      </c>
      <c r="J9" s="41" t="s">
        <v>113</v>
      </c>
      <c r="K9" s="78" t="s">
        <v>364</v>
      </c>
      <c r="L9" s="78" t="s">
        <v>365</v>
      </c>
      <c r="M9" s="40" t="s">
        <v>144</v>
      </c>
      <c r="N9" s="78" t="s">
        <v>366</v>
      </c>
      <c r="O9" s="78"/>
      <c r="P9" s="78" t="s">
        <v>367</v>
      </c>
      <c r="Q9" s="57" t="n">
        <v>31442</v>
      </c>
      <c r="V9" s="58" t="s">
        <v>368</v>
      </c>
      <c r="W9" s="57" t="n">
        <v>45663</v>
      </c>
      <c r="X9" s="82" t="n">
        <v>0.604166666666667</v>
      </c>
      <c r="Y9" s="78" t="s">
        <v>369</v>
      </c>
      <c r="Z9" s="57" t="n">
        <v>45664</v>
      </c>
      <c r="AA9" s="81" t="n">
        <v>0.772222222222222</v>
      </c>
      <c r="AB9" s="58" t="s">
        <v>370</v>
      </c>
      <c r="AC9" s="56" t="n">
        <v>45665</v>
      </c>
      <c r="AD9" s="87" t="s">
        <v>371</v>
      </c>
      <c r="AE9" s="41" t="s">
        <v>327</v>
      </c>
      <c r="AF9" s="42" t="s">
        <v>128</v>
      </c>
      <c r="AG9" s="41"/>
      <c r="AH9" s="42"/>
      <c r="AI9" s="41"/>
      <c r="AJ9" s="58" t="s">
        <v>124</v>
      </c>
      <c r="AK9" s="89" t="n">
        <v>3</v>
      </c>
      <c r="AL9" s="58" t="s">
        <v>158</v>
      </c>
      <c r="AM9" s="90" t="n">
        <v>45663</v>
      </c>
      <c r="AN9" s="90" t="n">
        <v>45664</v>
      </c>
      <c r="AO9" s="40" t="s">
        <v>159</v>
      </c>
      <c r="AP9" s="58" t="s">
        <v>360</v>
      </c>
      <c r="AQ9" s="58" t="s">
        <v>161</v>
      </c>
      <c r="AR9" s="90"/>
      <c r="AS9" s="90"/>
      <c r="AU9" s="78"/>
      <c r="AV9" s="78" t="s">
        <v>161</v>
      </c>
      <c r="AW9" s="90"/>
      <c r="AX9" s="90"/>
      <c r="AZ9" s="58" t="s">
        <v>161</v>
      </c>
      <c r="BA9" s="41" t="s">
        <v>161</v>
      </c>
      <c r="BB9" s="41"/>
      <c r="BC9" s="41"/>
      <c r="BD9" s="41"/>
      <c r="BE9" s="43"/>
      <c r="BF9" s="86" t="n">
        <v>0.583333333333333</v>
      </c>
      <c r="BG9" s="40" t="s">
        <v>361</v>
      </c>
      <c r="BH9" s="41" t="s">
        <v>269</v>
      </c>
      <c r="BI9" s="44" t="s">
        <v>135</v>
      </c>
      <c r="BJ9" s="44" t="s">
        <v>163</v>
      </c>
      <c r="BK9" s="44" t="n">
        <f aca="false">AM9</f>
        <v>45663</v>
      </c>
      <c r="BL9" s="82" t="n">
        <v>0.0833333333333339</v>
      </c>
      <c r="BM9" s="41" t="s">
        <v>362</v>
      </c>
      <c r="BN9" s="43" t="s">
        <v>163</v>
      </c>
      <c r="BO9" s="41" t="s">
        <v>135</v>
      </c>
      <c r="BP9" s="40" t="s">
        <v>162</v>
      </c>
      <c r="BQ9" s="43" t="n">
        <f aca="false">W9</f>
        <v>45663</v>
      </c>
      <c r="BR9" s="43" t="n">
        <f aca="false">X9</f>
        <v>0.604166666666667</v>
      </c>
      <c r="BS9" s="43" t="s">
        <v>161</v>
      </c>
      <c r="BT9" s="43"/>
      <c r="BU9" s="43"/>
      <c r="BV9" s="43"/>
      <c r="BW9" s="43"/>
      <c r="BX9" s="54"/>
      <c r="BY9" s="40"/>
      <c r="CA9" s="90"/>
      <c r="CB9" s="90"/>
      <c r="CE9" s="90"/>
      <c r="CF9" s="90"/>
      <c r="CL9" s="40"/>
      <c r="CM9" s="40"/>
      <c r="CN9" s="40"/>
      <c r="CO9" s="80"/>
      <c r="CP9" s="40"/>
    </row>
    <row r="10" s="58" customFormat="true" ht="11.25" hidden="false" customHeight="true" outlineLevel="0" collapsed="false">
      <c r="A10" s="40" t="s">
        <v>140</v>
      </c>
      <c r="B10" s="40" t="s">
        <v>108</v>
      </c>
      <c r="C10" s="78" t="s">
        <v>228</v>
      </c>
      <c r="D10" s="57"/>
      <c r="E10" s="57" t="n">
        <v>45663</v>
      </c>
      <c r="F10" s="57" t="n">
        <v>45663</v>
      </c>
      <c r="G10" s="40" t="s">
        <v>363</v>
      </c>
      <c r="H10" s="41" t="s">
        <v>141</v>
      </c>
      <c r="I10" s="41" t="s">
        <v>113</v>
      </c>
      <c r="J10" s="41" t="s">
        <v>113</v>
      </c>
      <c r="K10" s="78" t="s">
        <v>372</v>
      </c>
      <c r="L10" s="78" t="s">
        <v>373</v>
      </c>
      <c r="M10" s="40" t="s">
        <v>144</v>
      </c>
      <c r="N10" s="78" t="s">
        <v>374</v>
      </c>
      <c r="O10" s="78" t="s">
        <v>200</v>
      </c>
      <c r="P10" s="78" t="s">
        <v>375</v>
      </c>
      <c r="Q10" s="57" t="n">
        <v>33375</v>
      </c>
      <c r="V10" s="58" t="s">
        <v>368</v>
      </c>
      <c r="W10" s="57" t="n">
        <v>45663</v>
      </c>
      <c r="X10" s="82" t="n">
        <v>0.604166666666667</v>
      </c>
      <c r="Y10" s="78" t="s">
        <v>376</v>
      </c>
      <c r="Z10" s="57" t="n">
        <v>45665</v>
      </c>
      <c r="AA10" s="81" t="n">
        <v>0.999305555555556</v>
      </c>
      <c r="AB10" s="58" t="s">
        <v>377</v>
      </c>
      <c r="AC10" s="56" t="n">
        <v>45666</v>
      </c>
      <c r="AD10" s="87" t="s">
        <v>378</v>
      </c>
      <c r="AE10" s="41" t="s">
        <v>327</v>
      </c>
      <c r="AF10" s="42" t="s">
        <v>128</v>
      </c>
      <c r="AG10" s="41"/>
      <c r="AH10" s="42"/>
      <c r="AI10" s="41"/>
      <c r="AJ10" s="58" t="s">
        <v>124</v>
      </c>
      <c r="AK10" s="89" t="n">
        <v>3</v>
      </c>
      <c r="AL10" s="58" t="s">
        <v>158</v>
      </c>
      <c r="AM10" s="90" t="n">
        <v>45665</v>
      </c>
      <c r="AN10" s="90" t="n">
        <v>45666</v>
      </c>
      <c r="AO10" s="40" t="s">
        <v>159</v>
      </c>
      <c r="AP10" s="58" t="s">
        <v>379</v>
      </c>
      <c r="AQ10" s="58" t="s">
        <v>161</v>
      </c>
      <c r="AR10" s="90"/>
      <c r="AS10" s="90"/>
      <c r="AU10" s="78"/>
      <c r="AV10" s="78" t="s">
        <v>161</v>
      </c>
      <c r="AW10" s="90"/>
      <c r="AX10" s="90"/>
      <c r="AZ10" s="58" t="s">
        <v>161</v>
      </c>
      <c r="BA10" s="41" t="s">
        <v>161</v>
      </c>
      <c r="BB10" s="41"/>
      <c r="BC10" s="41"/>
      <c r="BD10" s="41"/>
      <c r="BE10" s="43"/>
      <c r="BF10" s="86" t="n">
        <v>0.625</v>
      </c>
      <c r="BG10" s="40" t="s">
        <v>361</v>
      </c>
      <c r="BH10" s="41" t="s">
        <v>269</v>
      </c>
      <c r="BI10" s="44" t="s">
        <v>135</v>
      </c>
      <c r="BJ10" s="44" t="s">
        <v>163</v>
      </c>
      <c r="BK10" s="44" t="n">
        <f aca="false">AM10</f>
        <v>45665</v>
      </c>
      <c r="BL10" s="82" t="n">
        <v>0.125000000000002</v>
      </c>
      <c r="BM10" s="41" t="s">
        <v>362</v>
      </c>
      <c r="BN10" s="43" t="s">
        <v>163</v>
      </c>
      <c r="BO10" s="41" t="s">
        <v>135</v>
      </c>
      <c r="BP10" s="40" t="s">
        <v>162</v>
      </c>
      <c r="BQ10" s="43" t="n">
        <f aca="false">W10</f>
        <v>45663</v>
      </c>
      <c r="BR10" s="43" t="n">
        <f aca="false">X10</f>
        <v>0.604166666666667</v>
      </c>
      <c r="BS10" s="43" t="s">
        <v>161</v>
      </c>
      <c r="BT10" s="43"/>
      <c r="BU10" s="43"/>
      <c r="BV10" s="43"/>
      <c r="BW10" s="43"/>
      <c r="BX10" s="54"/>
      <c r="BY10" s="40"/>
      <c r="CA10" s="90"/>
      <c r="CB10" s="90"/>
      <c r="CE10" s="90"/>
      <c r="CF10" s="90"/>
      <c r="CL10" s="40"/>
      <c r="CM10" s="40"/>
      <c r="CN10" s="40"/>
      <c r="CO10" s="80"/>
      <c r="CP10" s="40"/>
    </row>
    <row r="11" s="58" customFormat="true" ht="11.25" hidden="false" customHeight="true" outlineLevel="0" collapsed="false">
      <c r="A11" s="40" t="s">
        <v>140</v>
      </c>
      <c r="B11" s="40" t="s">
        <v>108</v>
      </c>
      <c r="C11" s="78" t="s">
        <v>249</v>
      </c>
      <c r="D11" s="57"/>
      <c r="E11" s="57" t="n">
        <v>45670</v>
      </c>
      <c r="F11" s="57" t="n">
        <v>45670</v>
      </c>
      <c r="G11" s="40" t="s">
        <v>318</v>
      </c>
      <c r="H11" s="41" t="s">
        <v>141</v>
      </c>
      <c r="I11" s="41" t="s">
        <v>113</v>
      </c>
      <c r="J11" s="41" t="s">
        <v>113</v>
      </c>
      <c r="K11" s="78" t="s">
        <v>380</v>
      </c>
      <c r="L11" s="78" t="s">
        <v>381</v>
      </c>
      <c r="M11" s="40" t="s">
        <v>144</v>
      </c>
      <c r="N11" s="78" t="s">
        <v>382</v>
      </c>
      <c r="O11" s="78" t="s">
        <v>383</v>
      </c>
      <c r="P11" s="78" t="s">
        <v>384</v>
      </c>
      <c r="Q11" s="57" t="n">
        <v>31778</v>
      </c>
      <c r="V11" s="58" t="s">
        <v>323</v>
      </c>
      <c r="W11" s="57" t="n">
        <v>45670</v>
      </c>
      <c r="X11" s="82" t="n">
        <v>0.677083333333333</v>
      </c>
      <c r="Y11" s="78" t="s">
        <v>358</v>
      </c>
      <c r="Z11" s="57" t="n">
        <v>45671</v>
      </c>
      <c r="AA11" s="58" t="s">
        <v>385</v>
      </c>
      <c r="AB11" s="58" t="s">
        <v>326</v>
      </c>
      <c r="AC11" s="56" t="n">
        <v>45671</v>
      </c>
      <c r="AD11" s="87" t="n">
        <v>0.506944444444444</v>
      </c>
      <c r="AE11" s="42" t="s">
        <v>327</v>
      </c>
      <c r="AF11" s="42" t="s">
        <v>128</v>
      </c>
      <c r="AG11" s="58" t="s">
        <v>125</v>
      </c>
      <c r="AH11" s="58" t="s">
        <v>126</v>
      </c>
      <c r="AI11" s="83" t="s">
        <v>123</v>
      </c>
      <c r="AJ11" s="58" t="s">
        <v>124</v>
      </c>
      <c r="AK11" s="89" t="n">
        <v>3</v>
      </c>
      <c r="AL11" s="58" t="s">
        <v>158</v>
      </c>
      <c r="AM11" s="90" t="n">
        <v>45670</v>
      </c>
      <c r="AN11" s="90" t="n">
        <v>45671</v>
      </c>
      <c r="AO11" s="40" t="s">
        <v>159</v>
      </c>
      <c r="AP11" s="58" t="s">
        <v>290</v>
      </c>
      <c r="AQ11" s="58" t="s">
        <v>161</v>
      </c>
      <c r="AR11" s="90"/>
      <c r="AS11" s="90"/>
      <c r="AU11" s="78"/>
      <c r="AV11" s="78" t="s">
        <v>161</v>
      </c>
      <c r="AW11" s="90"/>
      <c r="AX11" s="90"/>
      <c r="AZ11" s="58" t="s">
        <v>161</v>
      </c>
      <c r="BA11" s="40" t="s">
        <v>248</v>
      </c>
      <c r="BB11" s="40" t="s">
        <v>164</v>
      </c>
      <c r="BC11" s="41" t="s">
        <v>248</v>
      </c>
      <c r="BD11" s="43" t="s">
        <v>162</v>
      </c>
      <c r="BE11" s="43" t="n">
        <f aca="false">W11</f>
        <v>45670</v>
      </c>
      <c r="BF11" s="86" t="n">
        <v>0.666666666666667</v>
      </c>
      <c r="BG11" s="40" t="s">
        <v>361</v>
      </c>
      <c r="BH11" s="41" t="s">
        <v>269</v>
      </c>
      <c r="BI11" s="44" t="s">
        <v>135</v>
      </c>
      <c r="BJ11" s="44" t="s">
        <v>163</v>
      </c>
      <c r="BK11" s="44" t="n">
        <f aca="false">AM11</f>
        <v>45670</v>
      </c>
      <c r="BL11" s="82" t="n">
        <v>0.166666666666666</v>
      </c>
      <c r="BM11" s="41" t="s">
        <v>362</v>
      </c>
      <c r="BN11" s="43" t="s">
        <v>163</v>
      </c>
      <c r="BO11" s="41" t="s">
        <v>135</v>
      </c>
      <c r="BP11" s="40" t="s">
        <v>162</v>
      </c>
      <c r="BQ11" s="43" t="n">
        <f aca="false">W11</f>
        <v>45670</v>
      </c>
      <c r="BR11" s="43" t="n">
        <f aca="false">X11</f>
        <v>0.677083333333333</v>
      </c>
      <c r="BS11" s="43" t="s">
        <v>161</v>
      </c>
      <c r="BT11" s="43"/>
      <c r="BU11" s="43"/>
      <c r="BV11" s="43"/>
      <c r="BW11" s="43"/>
      <c r="BX11" s="54"/>
      <c r="BY11" s="40"/>
      <c r="CA11" s="90"/>
      <c r="CB11" s="90"/>
      <c r="CE11" s="90"/>
      <c r="CF11" s="90"/>
      <c r="CL11" s="40"/>
      <c r="CM11" s="40"/>
      <c r="CN11" s="40"/>
      <c r="CO11" s="80"/>
      <c r="CP11" s="40"/>
    </row>
    <row r="12" s="58" customFormat="true" ht="11.25" hidden="false" customHeight="true" outlineLevel="0" collapsed="false">
      <c r="A12" s="40" t="s">
        <v>140</v>
      </c>
      <c r="B12" s="40" t="s">
        <v>108</v>
      </c>
      <c r="C12" s="78" t="s">
        <v>249</v>
      </c>
      <c r="D12" s="57"/>
      <c r="E12" s="57" t="n">
        <v>45670</v>
      </c>
      <c r="F12" s="57" t="n">
        <v>45670</v>
      </c>
      <c r="G12" s="40" t="s">
        <v>318</v>
      </c>
      <c r="H12" s="41" t="s">
        <v>141</v>
      </c>
      <c r="I12" s="41" t="s">
        <v>113</v>
      </c>
      <c r="J12" s="41" t="s">
        <v>113</v>
      </c>
      <c r="K12" s="78" t="s">
        <v>386</v>
      </c>
      <c r="L12" s="78" t="s">
        <v>387</v>
      </c>
      <c r="M12" s="40" t="s">
        <v>144</v>
      </c>
      <c r="N12" s="78" t="s">
        <v>388</v>
      </c>
      <c r="O12" s="78" t="s">
        <v>389</v>
      </c>
      <c r="P12" s="78" t="s">
        <v>390</v>
      </c>
      <c r="Q12" s="57" t="n">
        <v>25488</v>
      </c>
      <c r="V12" s="58" t="s">
        <v>323</v>
      </c>
      <c r="W12" s="57" t="n">
        <v>45670</v>
      </c>
      <c r="X12" s="82" t="n">
        <v>0.677083333333333</v>
      </c>
      <c r="Y12" s="78" t="s">
        <v>358</v>
      </c>
      <c r="Z12" s="57" t="n">
        <v>45671</v>
      </c>
      <c r="AA12" s="58" t="s">
        <v>385</v>
      </c>
      <c r="AB12" s="58" t="s">
        <v>391</v>
      </c>
      <c r="AC12" s="56" t="n">
        <v>45671</v>
      </c>
      <c r="AD12" s="87" t="n">
        <v>0.458333333333333</v>
      </c>
      <c r="AE12" s="42" t="s">
        <v>327</v>
      </c>
      <c r="AF12" s="42" t="s">
        <v>128</v>
      </c>
      <c r="AG12" s="58" t="s">
        <v>125</v>
      </c>
      <c r="AH12" s="58" t="s">
        <v>126</v>
      </c>
      <c r="AI12" s="83" t="s">
        <v>123</v>
      </c>
      <c r="AJ12" s="58" t="s">
        <v>124</v>
      </c>
      <c r="AK12" s="89" t="n">
        <v>3</v>
      </c>
      <c r="AL12" s="58" t="s">
        <v>158</v>
      </c>
      <c r="AM12" s="90" t="n">
        <v>45670</v>
      </c>
      <c r="AN12" s="90" t="n">
        <v>45671</v>
      </c>
      <c r="AO12" s="40" t="s">
        <v>159</v>
      </c>
      <c r="AP12" s="58" t="s">
        <v>160</v>
      </c>
      <c r="AQ12" s="58" t="s">
        <v>161</v>
      </c>
      <c r="AR12" s="90"/>
      <c r="AS12" s="90"/>
      <c r="AU12" s="78"/>
      <c r="AV12" s="78" t="s">
        <v>161</v>
      </c>
      <c r="AW12" s="90"/>
      <c r="AX12" s="90"/>
      <c r="AZ12" s="58" t="s">
        <v>161</v>
      </c>
      <c r="BA12" s="40" t="s">
        <v>248</v>
      </c>
      <c r="BB12" s="40" t="s">
        <v>164</v>
      </c>
      <c r="BC12" s="41" t="s">
        <v>248</v>
      </c>
      <c r="BD12" s="43" t="s">
        <v>162</v>
      </c>
      <c r="BE12" s="43" t="n">
        <f aca="false">W12</f>
        <v>45670</v>
      </c>
      <c r="BF12" s="86" t="n">
        <v>0.708333333333333</v>
      </c>
      <c r="BG12" s="40" t="s">
        <v>361</v>
      </c>
      <c r="BH12" s="41" t="s">
        <v>269</v>
      </c>
      <c r="BI12" s="44" t="s">
        <v>135</v>
      </c>
      <c r="BJ12" s="44" t="s">
        <v>163</v>
      </c>
      <c r="BK12" s="44" t="n">
        <f aca="false">AM12</f>
        <v>45670</v>
      </c>
      <c r="BL12" s="82" t="n">
        <v>0.208333333333334</v>
      </c>
      <c r="BM12" s="41" t="s">
        <v>362</v>
      </c>
      <c r="BN12" s="43" t="s">
        <v>163</v>
      </c>
      <c r="BO12" s="41" t="s">
        <v>135</v>
      </c>
      <c r="BP12" s="40" t="s">
        <v>162</v>
      </c>
      <c r="BQ12" s="43" t="n">
        <f aca="false">W12</f>
        <v>45670</v>
      </c>
      <c r="BR12" s="43" t="n">
        <f aca="false">X12</f>
        <v>0.677083333333333</v>
      </c>
      <c r="BS12" s="43" t="s">
        <v>161</v>
      </c>
      <c r="BT12" s="43"/>
      <c r="BU12" s="43"/>
      <c r="BV12" s="43"/>
      <c r="BW12" s="43"/>
      <c r="BX12" s="54"/>
      <c r="BY12" s="40"/>
      <c r="CA12" s="90"/>
      <c r="CB12" s="90"/>
      <c r="CE12" s="90"/>
      <c r="CF12" s="90"/>
      <c r="CL12" s="40"/>
      <c r="CM12" s="40"/>
      <c r="CN12" s="40"/>
      <c r="CO12" s="80"/>
      <c r="CP12" s="40"/>
    </row>
    <row r="13" s="58" customFormat="true" ht="11.25" hidden="false" customHeight="true" outlineLevel="0" collapsed="false">
      <c r="A13" s="40" t="s">
        <v>140</v>
      </c>
      <c r="B13" s="40" t="s">
        <v>108</v>
      </c>
      <c r="C13" s="78" t="s">
        <v>249</v>
      </c>
      <c r="D13" s="57"/>
      <c r="E13" s="57" t="n">
        <v>45670</v>
      </c>
      <c r="F13" s="57" t="n">
        <v>45670</v>
      </c>
      <c r="G13" s="40" t="s">
        <v>318</v>
      </c>
      <c r="H13" s="41" t="s">
        <v>141</v>
      </c>
      <c r="I13" s="41" t="s">
        <v>113</v>
      </c>
      <c r="J13" s="41" t="s">
        <v>113</v>
      </c>
      <c r="K13" s="78" t="s">
        <v>392</v>
      </c>
      <c r="L13" s="78" t="s">
        <v>393</v>
      </c>
      <c r="M13" s="40" t="s">
        <v>144</v>
      </c>
      <c r="N13" s="78" t="s">
        <v>382</v>
      </c>
      <c r="O13" s="78" t="s">
        <v>394</v>
      </c>
      <c r="P13" s="78" t="s">
        <v>395</v>
      </c>
      <c r="Q13" s="57" t="n">
        <v>35874</v>
      </c>
      <c r="V13" s="58" t="s">
        <v>323</v>
      </c>
      <c r="W13" s="57" t="n">
        <v>45670</v>
      </c>
      <c r="X13" s="82" t="n">
        <v>0.677083333333333</v>
      </c>
      <c r="Y13" s="78" t="s">
        <v>396</v>
      </c>
      <c r="Z13" s="57" t="n">
        <v>45671</v>
      </c>
      <c r="AA13" s="58" t="s">
        <v>397</v>
      </c>
      <c r="AB13" s="58" t="s">
        <v>398</v>
      </c>
      <c r="AC13" s="56" t="n">
        <v>45671</v>
      </c>
      <c r="AD13" s="87" t="n">
        <v>0.954861111111111</v>
      </c>
      <c r="AE13" s="42" t="s">
        <v>327</v>
      </c>
      <c r="AF13" s="42" t="s">
        <v>128</v>
      </c>
      <c r="AG13" s="58" t="s">
        <v>125</v>
      </c>
      <c r="AH13" s="58" t="s">
        <v>126</v>
      </c>
      <c r="AI13" s="83" t="s">
        <v>123</v>
      </c>
      <c r="AJ13" s="58" t="s">
        <v>124</v>
      </c>
      <c r="AK13" s="89" t="n">
        <v>3</v>
      </c>
      <c r="AL13" s="58" t="s">
        <v>158</v>
      </c>
      <c r="AM13" s="90" t="n">
        <v>45670</v>
      </c>
      <c r="AN13" s="90" t="n">
        <v>45671</v>
      </c>
      <c r="AO13" s="40" t="s">
        <v>159</v>
      </c>
      <c r="AP13" s="58" t="s">
        <v>160</v>
      </c>
      <c r="AQ13" s="58" t="s">
        <v>161</v>
      </c>
      <c r="AR13" s="90"/>
      <c r="AS13" s="90"/>
      <c r="AU13" s="78"/>
      <c r="AV13" s="78" t="s">
        <v>161</v>
      </c>
      <c r="AW13" s="90"/>
      <c r="AX13" s="90"/>
      <c r="AZ13" s="58" t="s">
        <v>161</v>
      </c>
      <c r="BA13" s="40" t="s">
        <v>248</v>
      </c>
      <c r="BB13" s="40" t="s">
        <v>164</v>
      </c>
      <c r="BC13" s="41" t="s">
        <v>248</v>
      </c>
      <c r="BD13" s="43" t="s">
        <v>162</v>
      </c>
      <c r="BE13" s="43" t="n">
        <f aca="false">W13</f>
        <v>45670</v>
      </c>
      <c r="BF13" s="86" t="n">
        <v>0.75</v>
      </c>
      <c r="BG13" s="40" t="s">
        <v>361</v>
      </c>
      <c r="BH13" s="41" t="s">
        <v>269</v>
      </c>
      <c r="BI13" s="44" t="s">
        <v>135</v>
      </c>
      <c r="BJ13" s="44" t="s">
        <v>163</v>
      </c>
      <c r="BK13" s="44" t="n">
        <f aca="false">AM13</f>
        <v>45670</v>
      </c>
      <c r="BL13" s="82" t="n">
        <v>0.250000000000002</v>
      </c>
      <c r="BM13" s="41" t="s">
        <v>362</v>
      </c>
      <c r="BN13" s="43" t="s">
        <v>163</v>
      </c>
      <c r="BO13" s="41" t="s">
        <v>135</v>
      </c>
      <c r="BP13" s="40" t="s">
        <v>162</v>
      </c>
      <c r="BQ13" s="43" t="n">
        <f aca="false">W13</f>
        <v>45670</v>
      </c>
      <c r="BR13" s="43" t="n">
        <f aca="false">X13</f>
        <v>0.677083333333333</v>
      </c>
      <c r="BS13" s="43" t="s">
        <v>161</v>
      </c>
      <c r="BT13" s="43"/>
      <c r="BU13" s="43"/>
      <c r="BV13" s="43"/>
      <c r="BW13" s="43"/>
      <c r="BX13" s="54"/>
      <c r="BY13" s="40"/>
      <c r="CA13" s="90"/>
      <c r="CB13" s="90"/>
      <c r="CE13" s="90"/>
      <c r="CF13" s="90"/>
      <c r="CL13" s="40"/>
      <c r="CM13" s="40"/>
      <c r="CN13" s="40"/>
      <c r="CO13" s="80"/>
      <c r="CP13" s="40"/>
    </row>
    <row r="14" s="58" customFormat="true" ht="11.25" hidden="false" customHeight="true" outlineLevel="0" collapsed="false">
      <c r="A14" s="40" t="s">
        <v>140</v>
      </c>
      <c r="B14" s="40" t="s">
        <v>108</v>
      </c>
      <c r="C14" s="78" t="s">
        <v>249</v>
      </c>
      <c r="D14" s="57"/>
      <c r="E14" s="57" t="n">
        <v>45670</v>
      </c>
      <c r="F14" s="57" t="n">
        <v>45670</v>
      </c>
      <c r="G14" s="40" t="s">
        <v>318</v>
      </c>
      <c r="H14" s="41" t="s">
        <v>141</v>
      </c>
      <c r="I14" s="41" t="s">
        <v>113</v>
      </c>
      <c r="J14" s="41" t="s">
        <v>113</v>
      </c>
      <c r="K14" s="78" t="s">
        <v>399</v>
      </c>
      <c r="L14" s="78" t="s">
        <v>400</v>
      </c>
      <c r="M14" s="40" t="s">
        <v>144</v>
      </c>
      <c r="N14" s="78" t="s">
        <v>401</v>
      </c>
      <c r="O14" s="78" t="s">
        <v>402</v>
      </c>
      <c r="P14" s="78" t="s">
        <v>403</v>
      </c>
      <c r="Q14" s="57" t="n">
        <v>37237</v>
      </c>
      <c r="V14" s="58" t="s">
        <v>323</v>
      </c>
      <c r="W14" s="57" t="n">
        <v>45670</v>
      </c>
      <c r="X14" s="82" t="n">
        <v>0.677083333333333</v>
      </c>
      <c r="Y14" s="78" t="s">
        <v>358</v>
      </c>
      <c r="Z14" s="57" t="n">
        <v>45671</v>
      </c>
      <c r="AA14" s="58" t="s">
        <v>385</v>
      </c>
      <c r="AB14" s="58" t="s">
        <v>404</v>
      </c>
      <c r="AC14" s="56" t="n">
        <v>45671</v>
      </c>
      <c r="AD14" s="87" t="n">
        <v>0.645833333333333</v>
      </c>
      <c r="AE14" s="42" t="s">
        <v>327</v>
      </c>
      <c r="AF14" s="42" t="s">
        <v>128</v>
      </c>
      <c r="AG14" s="58" t="s">
        <v>125</v>
      </c>
      <c r="AH14" s="58" t="s">
        <v>126</v>
      </c>
      <c r="AI14" s="83" t="s">
        <v>123</v>
      </c>
      <c r="AJ14" s="58" t="s">
        <v>124</v>
      </c>
      <c r="AK14" s="89" t="n">
        <v>3</v>
      </c>
      <c r="AL14" s="58" t="s">
        <v>158</v>
      </c>
      <c r="AM14" s="90" t="n">
        <v>45670</v>
      </c>
      <c r="AN14" s="90" t="n">
        <v>45671</v>
      </c>
      <c r="AO14" s="40" t="s">
        <v>159</v>
      </c>
      <c r="AP14" s="58" t="s">
        <v>160</v>
      </c>
      <c r="AQ14" s="58" t="s">
        <v>161</v>
      </c>
      <c r="AR14" s="90"/>
      <c r="AS14" s="90"/>
      <c r="AU14" s="78"/>
      <c r="AV14" s="78" t="s">
        <v>161</v>
      </c>
      <c r="AW14" s="90"/>
      <c r="AX14" s="90"/>
      <c r="AZ14" s="58" t="s">
        <v>161</v>
      </c>
      <c r="BA14" s="40" t="s">
        <v>248</v>
      </c>
      <c r="BB14" s="40" t="s">
        <v>164</v>
      </c>
      <c r="BC14" s="41" t="s">
        <v>248</v>
      </c>
      <c r="BD14" s="43" t="s">
        <v>162</v>
      </c>
      <c r="BE14" s="43" t="n">
        <f aca="false">W14</f>
        <v>45670</v>
      </c>
      <c r="BF14" s="86" t="n">
        <v>0.791666666666667</v>
      </c>
      <c r="BG14" s="40" t="s">
        <v>361</v>
      </c>
      <c r="BH14" s="41" t="s">
        <v>269</v>
      </c>
      <c r="BI14" s="44" t="s">
        <v>135</v>
      </c>
      <c r="BJ14" s="44" t="s">
        <v>163</v>
      </c>
      <c r="BK14" s="44" t="n">
        <f aca="false">AM14</f>
        <v>45670</v>
      </c>
      <c r="BL14" s="82" t="n">
        <v>0.291666666666666</v>
      </c>
      <c r="BM14" s="41" t="s">
        <v>362</v>
      </c>
      <c r="BN14" s="43" t="s">
        <v>163</v>
      </c>
      <c r="BO14" s="41" t="s">
        <v>135</v>
      </c>
      <c r="BP14" s="40" t="s">
        <v>162</v>
      </c>
      <c r="BQ14" s="43" t="n">
        <f aca="false">W14</f>
        <v>45670</v>
      </c>
      <c r="BR14" s="43" t="n">
        <f aca="false">X14</f>
        <v>0.677083333333333</v>
      </c>
      <c r="BS14" s="43" t="s">
        <v>161</v>
      </c>
      <c r="BT14" s="43"/>
      <c r="BU14" s="43"/>
      <c r="BV14" s="43"/>
      <c r="BW14" s="43"/>
      <c r="BX14" s="54"/>
      <c r="BY14" s="40"/>
      <c r="CA14" s="90"/>
      <c r="CB14" s="90"/>
      <c r="CE14" s="90"/>
      <c r="CF14" s="90"/>
      <c r="CL14" s="40"/>
      <c r="CM14" s="40"/>
      <c r="CN14" s="40"/>
      <c r="CO14" s="80"/>
      <c r="CP14" s="40"/>
    </row>
    <row r="15" s="58" customFormat="true" ht="11.25" hidden="false" customHeight="true" outlineLevel="0" collapsed="false">
      <c r="A15" s="40" t="s">
        <v>140</v>
      </c>
      <c r="B15" s="40" t="s">
        <v>108</v>
      </c>
      <c r="C15" s="78" t="s">
        <v>249</v>
      </c>
      <c r="D15" s="57"/>
      <c r="E15" s="57" t="n">
        <v>45670</v>
      </c>
      <c r="F15" s="57" t="n">
        <v>45670</v>
      </c>
      <c r="G15" s="40" t="s">
        <v>318</v>
      </c>
      <c r="H15" s="41" t="s">
        <v>141</v>
      </c>
      <c r="I15" s="41" t="s">
        <v>113</v>
      </c>
      <c r="J15" s="41" t="s">
        <v>113</v>
      </c>
      <c r="K15" s="78" t="s">
        <v>405</v>
      </c>
      <c r="L15" s="78" t="s">
        <v>406</v>
      </c>
      <c r="M15" s="40" t="s">
        <v>144</v>
      </c>
      <c r="N15" s="78" t="s">
        <v>401</v>
      </c>
      <c r="O15" s="78" t="s">
        <v>394</v>
      </c>
      <c r="P15" s="78" t="s">
        <v>407</v>
      </c>
      <c r="Q15" s="57" t="n">
        <v>29815</v>
      </c>
      <c r="V15" s="58" t="s">
        <v>323</v>
      </c>
      <c r="W15" s="57" t="n">
        <v>45670</v>
      </c>
      <c r="X15" s="82" t="n">
        <v>0.677083333333333</v>
      </c>
      <c r="Y15" s="78" t="s">
        <v>358</v>
      </c>
      <c r="Z15" s="57" t="n">
        <v>45671</v>
      </c>
      <c r="AA15" s="58" t="s">
        <v>385</v>
      </c>
      <c r="AB15" s="58" t="s">
        <v>404</v>
      </c>
      <c r="AC15" s="56" t="n">
        <v>45671</v>
      </c>
      <c r="AD15" s="87" t="n">
        <v>0.645833333333333</v>
      </c>
      <c r="AE15" s="42" t="s">
        <v>327</v>
      </c>
      <c r="AF15" s="42" t="s">
        <v>128</v>
      </c>
      <c r="AG15" s="58" t="s">
        <v>125</v>
      </c>
      <c r="AH15" s="58" t="s">
        <v>126</v>
      </c>
      <c r="AI15" s="83" t="s">
        <v>123</v>
      </c>
      <c r="AJ15" s="58" t="s">
        <v>124</v>
      </c>
      <c r="AK15" s="89" t="n">
        <v>3</v>
      </c>
      <c r="AL15" s="58" t="s">
        <v>158</v>
      </c>
      <c r="AM15" s="90" t="n">
        <v>45670</v>
      </c>
      <c r="AN15" s="90" t="n">
        <v>45671</v>
      </c>
      <c r="AO15" s="40" t="s">
        <v>159</v>
      </c>
      <c r="AP15" s="58" t="s">
        <v>160</v>
      </c>
      <c r="AQ15" s="58" t="s">
        <v>161</v>
      </c>
      <c r="AR15" s="90"/>
      <c r="AS15" s="90"/>
      <c r="AU15" s="78"/>
      <c r="AV15" s="78" t="s">
        <v>161</v>
      </c>
      <c r="AW15" s="90"/>
      <c r="AX15" s="90"/>
      <c r="AZ15" s="58" t="s">
        <v>161</v>
      </c>
      <c r="BA15" s="40" t="s">
        <v>248</v>
      </c>
      <c r="BB15" s="40" t="s">
        <v>164</v>
      </c>
      <c r="BC15" s="41" t="s">
        <v>248</v>
      </c>
      <c r="BD15" s="43" t="s">
        <v>162</v>
      </c>
      <c r="BE15" s="43" t="n">
        <f aca="false">W15</f>
        <v>45670</v>
      </c>
      <c r="BF15" s="86" t="n">
        <v>0.833333333333333</v>
      </c>
      <c r="BG15" s="40" t="s">
        <v>361</v>
      </c>
      <c r="BH15" s="41" t="s">
        <v>269</v>
      </c>
      <c r="BI15" s="44" t="s">
        <v>135</v>
      </c>
      <c r="BJ15" s="44" t="s">
        <v>163</v>
      </c>
      <c r="BK15" s="44" t="n">
        <f aca="false">AM15</f>
        <v>45670</v>
      </c>
      <c r="BL15" s="82" t="n">
        <v>0.333333333333334</v>
      </c>
      <c r="BM15" s="41" t="s">
        <v>362</v>
      </c>
      <c r="BN15" s="43" t="s">
        <v>163</v>
      </c>
      <c r="BO15" s="41" t="s">
        <v>135</v>
      </c>
      <c r="BP15" s="40" t="s">
        <v>162</v>
      </c>
      <c r="BQ15" s="43" t="n">
        <f aca="false">W15</f>
        <v>45670</v>
      </c>
      <c r="BR15" s="43" t="n">
        <f aca="false">X15</f>
        <v>0.677083333333333</v>
      </c>
      <c r="BS15" s="43" t="s">
        <v>161</v>
      </c>
      <c r="BT15" s="43"/>
      <c r="BU15" s="43"/>
      <c r="BV15" s="43"/>
      <c r="BW15" s="43"/>
      <c r="BX15" s="54"/>
      <c r="BY15" s="40"/>
      <c r="CA15" s="90"/>
      <c r="CB15" s="90"/>
      <c r="CE15" s="90"/>
      <c r="CF15" s="90"/>
      <c r="CL15" s="40"/>
      <c r="CM15" s="40"/>
      <c r="CN15" s="40"/>
      <c r="CO15" s="80"/>
      <c r="CP15" s="40"/>
    </row>
    <row r="16" s="58" customFormat="true" ht="11.25" hidden="false" customHeight="true" outlineLevel="0" collapsed="false">
      <c r="A16" s="40" t="s">
        <v>140</v>
      </c>
      <c r="B16" s="40" t="s">
        <v>108</v>
      </c>
      <c r="C16" s="78" t="s">
        <v>249</v>
      </c>
      <c r="D16" s="57"/>
      <c r="E16" s="57" t="n">
        <v>45670</v>
      </c>
      <c r="F16" s="57" t="n">
        <v>45670</v>
      </c>
      <c r="G16" s="40" t="s">
        <v>318</v>
      </c>
      <c r="H16" s="41" t="s">
        <v>141</v>
      </c>
      <c r="I16" s="41" t="s">
        <v>113</v>
      </c>
      <c r="J16" s="41" t="s">
        <v>113</v>
      </c>
      <c r="K16" s="78" t="s">
        <v>408</v>
      </c>
      <c r="L16" s="78" t="s">
        <v>409</v>
      </c>
      <c r="M16" s="40" t="s">
        <v>144</v>
      </c>
      <c r="N16" s="78" t="s">
        <v>401</v>
      </c>
      <c r="O16" s="78" t="s">
        <v>394</v>
      </c>
      <c r="P16" s="78" t="s">
        <v>410</v>
      </c>
      <c r="Q16" s="57" t="n">
        <v>36003</v>
      </c>
      <c r="V16" s="58" t="s">
        <v>323</v>
      </c>
      <c r="W16" s="57" t="n">
        <v>45670</v>
      </c>
      <c r="X16" s="82" t="n">
        <v>0.677083333333333</v>
      </c>
      <c r="Y16" s="78" t="s">
        <v>358</v>
      </c>
      <c r="Z16" s="57" t="n">
        <v>45671</v>
      </c>
      <c r="AA16" s="58" t="s">
        <v>385</v>
      </c>
      <c r="AB16" s="58" t="s">
        <v>404</v>
      </c>
      <c r="AC16" s="56" t="n">
        <v>45671</v>
      </c>
      <c r="AD16" s="87" t="n">
        <v>0.645833333333333</v>
      </c>
      <c r="AE16" s="42" t="s">
        <v>327</v>
      </c>
      <c r="AF16" s="42" t="s">
        <v>128</v>
      </c>
      <c r="AG16" s="58" t="s">
        <v>125</v>
      </c>
      <c r="AH16" s="58" t="s">
        <v>126</v>
      </c>
      <c r="AI16" s="83" t="s">
        <v>123</v>
      </c>
      <c r="AJ16" s="58" t="s">
        <v>124</v>
      </c>
      <c r="AK16" s="89" t="n">
        <v>3</v>
      </c>
      <c r="AL16" s="58" t="s">
        <v>158</v>
      </c>
      <c r="AM16" s="90" t="n">
        <v>45670</v>
      </c>
      <c r="AN16" s="90" t="n">
        <v>45671</v>
      </c>
      <c r="AO16" s="40" t="s">
        <v>159</v>
      </c>
      <c r="AP16" s="58" t="s">
        <v>160</v>
      </c>
      <c r="AQ16" s="58" t="s">
        <v>161</v>
      </c>
      <c r="AR16" s="90"/>
      <c r="AS16" s="90"/>
      <c r="AU16" s="78"/>
      <c r="AV16" s="78" t="s">
        <v>161</v>
      </c>
      <c r="AW16" s="90"/>
      <c r="AX16" s="90"/>
      <c r="AZ16" s="58" t="s">
        <v>161</v>
      </c>
      <c r="BA16" s="40" t="s">
        <v>248</v>
      </c>
      <c r="BB16" s="40" t="s">
        <v>164</v>
      </c>
      <c r="BC16" s="41" t="s">
        <v>248</v>
      </c>
      <c r="BD16" s="43" t="s">
        <v>162</v>
      </c>
      <c r="BE16" s="43" t="n">
        <f aca="false">W16</f>
        <v>45670</v>
      </c>
      <c r="BF16" s="86" t="n">
        <v>0.875</v>
      </c>
      <c r="BG16" s="40" t="s">
        <v>361</v>
      </c>
      <c r="BH16" s="41" t="s">
        <v>269</v>
      </c>
      <c r="BI16" s="44" t="s">
        <v>135</v>
      </c>
      <c r="BJ16" s="44" t="s">
        <v>163</v>
      </c>
      <c r="BK16" s="44" t="n">
        <f aca="false">AM16</f>
        <v>45670</v>
      </c>
      <c r="BL16" s="82" t="n">
        <v>0.375</v>
      </c>
      <c r="BM16" s="41" t="s">
        <v>362</v>
      </c>
      <c r="BN16" s="43" t="s">
        <v>163</v>
      </c>
      <c r="BO16" s="41" t="s">
        <v>135</v>
      </c>
      <c r="BP16" s="40" t="s">
        <v>162</v>
      </c>
      <c r="BQ16" s="43" t="n">
        <f aca="false">W16</f>
        <v>45670</v>
      </c>
      <c r="BR16" s="43" t="n">
        <f aca="false">X16</f>
        <v>0.677083333333333</v>
      </c>
      <c r="BS16" s="43" t="s">
        <v>161</v>
      </c>
      <c r="BT16" s="43"/>
      <c r="BU16" s="43"/>
      <c r="BV16" s="43"/>
      <c r="BW16" s="43"/>
      <c r="BX16" s="54"/>
      <c r="BY16" s="40"/>
      <c r="CA16" s="90"/>
      <c r="CB16" s="90"/>
      <c r="CE16" s="90"/>
      <c r="CF16" s="90"/>
      <c r="CL16" s="40"/>
      <c r="CM16" s="40"/>
      <c r="CN16" s="40"/>
      <c r="CO16" s="80"/>
      <c r="CP16" s="40"/>
    </row>
    <row r="17" s="58" customFormat="true" ht="11.25" hidden="false" customHeight="true" outlineLevel="0" collapsed="false">
      <c r="A17" s="40" t="s">
        <v>140</v>
      </c>
      <c r="B17" s="40" t="s">
        <v>108</v>
      </c>
      <c r="C17" s="78" t="s">
        <v>249</v>
      </c>
      <c r="D17" s="57"/>
      <c r="E17" s="57" t="n">
        <v>45670</v>
      </c>
      <c r="F17" s="57" t="n">
        <v>45670</v>
      </c>
      <c r="G17" s="40" t="s">
        <v>318</v>
      </c>
      <c r="H17" s="41" t="s">
        <v>141</v>
      </c>
      <c r="I17" s="41" t="s">
        <v>113</v>
      </c>
      <c r="J17" s="41" t="s">
        <v>113</v>
      </c>
      <c r="K17" s="78" t="s">
        <v>411</v>
      </c>
      <c r="L17" s="78" t="s">
        <v>412</v>
      </c>
      <c r="M17" s="40" t="s">
        <v>144</v>
      </c>
      <c r="N17" s="78" t="s">
        <v>145</v>
      </c>
      <c r="O17" s="78" t="s">
        <v>383</v>
      </c>
      <c r="P17" s="78" t="s">
        <v>413</v>
      </c>
      <c r="Q17" s="57" t="n">
        <v>29738</v>
      </c>
      <c r="V17" s="58" t="s">
        <v>323</v>
      </c>
      <c r="W17" s="57" t="n">
        <v>45670</v>
      </c>
      <c r="X17" s="82" t="n">
        <v>0.677083333333333</v>
      </c>
      <c r="Y17" s="78" t="s">
        <v>325</v>
      </c>
      <c r="Z17" s="57" t="n">
        <v>45671</v>
      </c>
      <c r="AA17" s="58" t="s">
        <v>414</v>
      </c>
      <c r="AB17" s="58" t="s">
        <v>415</v>
      </c>
      <c r="AC17" s="56" t="n">
        <v>45671</v>
      </c>
      <c r="AD17" s="87" t="n">
        <v>0.777777777777778</v>
      </c>
      <c r="AE17" s="42" t="s">
        <v>327</v>
      </c>
      <c r="AF17" s="42" t="s">
        <v>128</v>
      </c>
      <c r="AG17" s="58" t="s">
        <v>125</v>
      </c>
      <c r="AH17" s="58" t="s">
        <v>126</v>
      </c>
      <c r="AI17" s="83" t="s">
        <v>123</v>
      </c>
      <c r="AJ17" s="58" t="s">
        <v>124</v>
      </c>
      <c r="AK17" s="89" t="n">
        <v>3</v>
      </c>
      <c r="AL17" s="58" t="s">
        <v>158</v>
      </c>
      <c r="AM17" s="90" t="n">
        <v>45670</v>
      </c>
      <c r="AN17" s="90" t="n">
        <v>45671</v>
      </c>
      <c r="AO17" s="40" t="s">
        <v>159</v>
      </c>
      <c r="AP17" s="58" t="s">
        <v>160</v>
      </c>
      <c r="AQ17" s="58" t="s">
        <v>161</v>
      </c>
      <c r="AR17" s="90"/>
      <c r="AS17" s="90"/>
      <c r="AU17" s="78"/>
      <c r="AV17" s="78" t="s">
        <v>161</v>
      </c>
      <c r="AW17" s="90"/>
      <c r="AX17" s="90"/>
      <c r="AZ17" s="58" t="s">
        <v>161</v>
      </c>
      <c r="BA17" s="40" t="s">
        <v>248</v>
      </c>
      <c r="BB17" s="40" t="s">
        <v>164</v>
      </c>
      <c r="BC17" s="41" t="s">
        <v>248</v>
      </c>
      <c r="BD17" s="43" t="s">
        <v>162</v>
      </c>
      <c r="BE17" s="43" t="n">
        <f aca="false">W17</f>
        <v>45670</v>
      </c>
      <c r="BF17" s="86" t="n">
        <v>0.916666666666667</v>
      </c>
      <c r="BG17" s="40" t="s">
        <v>361</v>
      </c>
      <c r="BH17" s="41" t="s">
        <v>269</v>
      </c>
      <c r="BI17" s="44" t="s">
        <v>135</v>
      </c>
      <c r="BJ17" s="44" t="s">
        <v>163</v>
      </c>
      <c r="BK17" s="44" t="n">
        <f aca="false">AM17</f>
        <v>45670</v>
      </c>
      <c r="BL17" s="82" t="n">
        <v>0.416666666666668</v>
      </c>
      <c r="BM17" s="41" t="s">
        <v>362</v>
      </c>
      <c r="BN17" s="43" t="s">
        <v>163</v>
      </c>
      <c r="BO17" s="41" t="s">
        <v>135</v>
      </c>
      <c r="BP17" s="40" t="s">
        <v>162</v>
      </c>
      <c r="BQ17" s="43" t="n">
        <f aca="false">W17</f>
        <v>45670</v>
      </c>
      <c r="BR17" s="43" t="n">
        <f aca="false">X17</f>
        <v>0.677083333333333</v>
      </c>
      <c r="BS17" s="43" t="s">
        <v>161</v>
      </c>
      <c r="BT17" s="43"/>
      <c r="BU17" s="43"/>
      <c r="BV17" s="43"/>
      <c r="BW17" s="43"/>
      <c r="BX17" s="54"/>
      <c r="BY17" s="40"/>
      <c r="CA17" s="90"/>
      <c r="CB17" s="90"/>
      <c r="CE17" s="90"/>
      <c r="CF17" s="90"/>
      <c r="CL17" s="40"/>
      <c r="CM17" s="40"/>
      <c r="CN17" s="40"/>
      <c r="CO17" s="80"/>
      <c r="CP17" s="40"/>
    </row>
    <row r="18" s="58" customFormat="true" ht="11.25" hidden="false" customHeight="true" outlineLevel="0" collapsed="false">
      <c r="A18" s="40" t="s">
        <v>140</v>
      </c>
      <c r="B18" s="40" t="s">
        <v>108</v>
      </c>
      <c r="C18" s="78" t="s">
        <v>249</v>
      </c>
      <c r="D18" s="57"/>
      <c r="E18" s="57" t="n">
        <v>45670</v>
      </c>
      <c r="F18" s="57" t="n">
        <v>45670</v>
      </c>
      <c r="G18" s="40" t="s">
        <v>318</v>
      </c>
      <c r="H18" s="41" t="s">
        <v>141</v>
      </c>
      <c r="I18" s="41" t="s">
        <v>113</v>
      </c>
      <c r="J18" s="41" t="s">
        <v>113</v>
      </c>
      <c r="K18" s="78" t="s">
        <v>416</v>
      </c>
      <c r="L18" s="78" t="s">
        <v>417</v>
      </c>
      <c r="M18" s="40" t="s">
        <v>144</v>
      </c>
      <c r="N18" s="78" t="s">
        <v>145</v>
      </c>
      <c r="O18" s="78" t="s">
        <v>402</v>
      </c>
      <c r="P18" s="78" t="s">
        <v>418</v>
      </c>
      <c r="Q18" s="57" t="n">
        <v>25345</v>
      </c>
      <c r="V18" s="58" t="s">
        <v>323</v>
      </c>
      <c r="W18" s="57" t="n">
        <v>45670</v>
      </c>
      <c r="X18" s="82" t="n">
        <v>0.677083333333333</v>
      </c>
      <c r="Y18" s="78" t="s">
        <v>325</v>
      </c>
      <c r="Z18" s="57" t="n">
        <v>45671</v>
      </c>
      <c r="AA18" s="58" t="s">
        <v>414</v>
      </c>
      <c r="AB18" s="58" t="s">
        <v>415</v>
      </c>
      <c r="AC18" s="56" t="n">
        <v>45671</v>
      </c>
      <c r="AD18" s="87" t="n">
        <v>0.777777777777778</v>
      </c>
      <c r="AE18" s="42" t="s">
        <v>327</v>
      </c>
      <c r="AF18" s="42" t="s">
        <v>128</v>
      </c>
      <c r="AG18" s="58" t="s">
        <v>125</v>
      </c>
      <c r="AH18" s="58" t="s">
        <v>126</v>
      </c>
      <c r="AI18" s="83" t="s">
        <v>123</v>
      </c>
      <c r="AJ18" s="58" t="s">
        <v>124</v>
      </c>
      <c r="AK18" s="89" t="n">
        <v>3</v>
      </c>
      <c r="AL18" s="58" t="s">
        <v>158</v>
      </c>
      <c r="AM18" s="90" t="n">
        <v>45670</v>
      </c>
      <c r="AN18" s="90" t="n">
        <v>45671</v>
      </c>
      <c r="AO18" s="40" t="s">
        <v>159</v>
      </c>
      <c r="AP18" s="58" t="s">
        <v>160</v>
      </c>
      <c r="AQ18" s="58" t="s">
        <v>161</v>
      </c>
      <c r="AR18" s="90"/>
      <c r="AS18" s="90"/>
      <c r="AU18" s="78"/>
      <c r="AV18" s="78" t="s">
        <v>161</v>
      </c>
      <c r="AW18" s="90"/>
      <c r="AX18" s="90"/>
      <c r="AZ18" s="58" t="s">
        <v>161</v>
      </c>
      <c r="BA18" s="40" t="s">
        <v>248</v>
      </c>
      <c r="BB18" s="40" t="s">
        <v>164</v>
      </c>
      <c r="BC18" s="41" t="s">
        <v>248</v>
      </c>
      <c r="BD18" s="43" t="s">
        <v>162</v>
      </c>
      <c r="BE18" s="43" t="n">
        <f aca="false">W18</f>
        <v>45670</v>
      </c>
      <c r="BF18" s="86" t="n">
        <v>0.958333333333333</v>
      </c>
      <c r="BG18" s="40" t="s">
        <v>361</v>
      </c>
      <c r="BH18" s="41" t="s">
        <v>269</v>
      </c>
      <c r="BI18" s="44" t="s">
        <v>135</v>
      </c>
      <c r="BJ18" s="44" t="s">
        <v>163</v>
      </c>
      <c r="BK18" s="44" t="n">
        <f aca="false">AM18</f>
        <v>45670</v>
      </c>
      <c r="BL18" s="82" t="n">
        <v>0.458333333333334</v>
      </c>
      <c r="BM18" s="41" t="s">
        <v>362</v>
      </c>
      <c r="BN18" s="43" t="s">
        <v>163</v>
      </c>
      <c r="BO18" s="41" t="s">
        <v>135</v>
      </c>
      <c r="BP18" s="40" t="s">
        <v>162</v>
      </c>
      <c r="BQ18" s="43" t="n">
        <f aca="false">W18</f>
        <v>45670</v>
      </c>
      <c r="BR18" s="43" t="n">
        <f aca="false">X18</f>
        <v>0.677083333333333</v>
      </c>
      <c r="BS18" s="43" t="s">
        <v>161</v>
      </c>
      <c r="BT18" s="43"/>
      <c r="BU18" s="43"/>
      <c r="BV18" s="43"/>
      <c r="BW18" s="43"/>
      <c r="BX18" s="54"/>
      <c r="BY18" s="40"/>
      <c r="CA18" s="90"/>
      <c r="CB18" s="90"/>
      <c r="CE18" s="90"/>
      <c r="CF18" s="90"/>
      <c r="CL18" s="40"/>
      <c r="CM18" s="40"/>
      <c r="CN18" s="40"/>
      <c r="CO18" s="80"/>
      <c r="CP18" s="40"/>
    </row>
    <row r="19" s="58" customFormat="true" ht="11.25" hidden="false" customHeight="true" outlineLevel="0" collapsed="false">
      <c r="A19" s="40" t="s">
        <v>140</v>
      </c>
      <c r="B19" s="40" t="s">
        <v>108</v>
      </c>
      <c r="C19" s="78" t="s">
        <v>249</v>
      </c>
      <c r="D19" s="57"/>
      <c r="E19" s="57" t="n">
        <v>45670</v>
      </c>
      <c r="F19" s="57" t="n">
        <v>45670</v>
      </c>
      <c r="G19" s="40" t="s">
        <v>318</v>
      </c>
      <c r="H19" s="41" t="s">
        <v>141</v>
      </c>
      <c r="I19" s="41" t="s">
        <v>113</v>
      </c>
      <c r="J19" s="41" t="s">
        <v>113</v>
      </c>
      <c r="K19" s="78" t="s">
        <v>419</v>
      </c>
      <c r="L19" s="78" t="s">
        <v>420</v>
      </c>
      <c r="M19" s="40" t="s">
        <v>144</v>
      </c>
      <c r="N19" s="78" t="s">
        <v>145</v>
      </c>
      <c r="O19" s="78" t="s">
        <v>383</v>
      </c>
      <c r="P19" s="78" t="s">
        <v>421</v>
      </c>
      <c r="Q19" s="57" t="n">
        <v>34847</v>
      </c>
      <c r="V19" s="58" t="s">
        <v>323</v>
      </c>
      <c r="W19" s="57" t="n">
        <v>45670</v>
      </c>
      <c r="X19" s="82" t="n">
        <v>0.677083333333333</v>
      </c>
      <c r="Y19" s="78" t="s">
        <v>325</v>
      </c>
      <c r="Z19" s="57" t="n">
        <v>45671</v>
      </c>
      <c r="AA19" s="58" t="s">
        <v>414</v>
      </c>
      <c r="AB19" s="58" t="s">
        <v>422</v>
      </c>
      <c r="AC19" s="56" t="n">
        <v>45671</v>
      </c>
      <c r="AD19" s="87" t="n">
        <v>0.878472222222222</v>
      </c>
      <c r="AE19" s="42" t="s">
        <v>327</v>
      </c>
      <c r="AF19" s="42" t="s">
        <v>128</v>
      </c>
      <c r="AG19" s="58" t="s">
        <v>125</v>
      </c>
      <c r="AH19" s="58" t="s">
        <v>126</v>
      </c>
      <c r="AI19" s="83" t="s">
        <v>123</v>
      </c>
      <c r="AJ19" s="58" t="s">
        <v>124</v>
      </c>
      <c r="AK19" s="89" t="n">
        <v>3</v>
      </c>
      <c r="AL19" s="58" t="s">
        <v>158</v>
      </c>
      <c r="AM19" s="90" t="n">
        <v>45670</v>
      </c>
      <c r="AN19" s="90" t="n">
        <v>45671</v>
      </c>
      <c r="AO19" s="40" t="s">
        <v>159</v>
      </c>
      <c r="AP19" s="58" t="s">
        <v>160</v>
      </c>
      <c r="AQ19" s="58" t="s">
        <v>161</v>
      </c>
      <c r="AR19" s="90"/>
      <c r="AS19" s="90"/>
      <c r="AU19" s="78"/>
      <c r="AV19" s="78" t="s">
        <v>161</v>
      </c>
      <c r="AW19" s="90"/>
      <c r="AX19" s="90"/>
      <c r="AZ19" s="58" t="s">
        <v>161</v>
      </c>
      <c r="BA19" s="40" t="s">
        <v>248</v>
      </c>
      <c r="BB19" s="40" t="s">
        <v>164</v>
      </c>
      <c r="BC19" s="41" t="s">
        <v>248</v>
      </c>
      <c r="BD19" s="43" t="s">
        <v>162</v>
      </c>
      <c r="BE19" s="43" t="n">
        <f aca="false">W19</f>
        <v>45670</v>
      </c>
      <c r="BF19" s="86" t="n">
        <v>1</v>
      </c>
      <c r="BG19" s="40" t="s">
        <v>361</v>
      </c>
      <c r="BH19" s="41" t="s">
        <v>269</v>
      </c>
      <c r="BI19" s="44" t="s">
        <v>135</v>
      </c>
      <c r="BJ19" s="44" t="s">
        <v>163</v>
      </c>
      <c r="BK19" s="44" t="n">
        <f aca="false">AM19</f>
        <v>45670</v>
      </c>
      <c r="BL19" s="82" t="n">
        <v>0.5</v>
      </c>
      <c r="BM19" s="41" t="s">
        <v>362</v>
      </c>
      <c r="BN19" s="43" t="s">
        <v>163</v>
      </c>
      <c r="BO19" s="41" t="s">
        <v>135</v>
      </c>
      <c r="BP19" s="40" t="s">
        <v>162</v>
      </c>
      <c r="BQ19" s="43" t="n">
        <f aca="false">W19</f>
        <v>45670</v>
      </c>
      <c r="BR19" s="43" t="n">
        <f aca="false">X19</f>
        <v>0.677083333333333</v>
      </c>
      <c r="BS19" s="43" t="s">
        <v>161</v>
      </c>
      <c r="BT19" s="43"/>
      <c r="BU19" s="43"/>
      <c r="BV19" s="43"/>
      <c r="BW19" s="43"/>
      <c r="BX19" s="54"/>
      <c r="BY19" s="40"/>
      <c r="CA19" s="90"/>
      <c r="CB19" s="90"/>
      <c r="CE19" s="90"/>
      <c r="CF19" s="90"/>
      <c r="CL19" s="40"/>
      <c r="CM19" s="40"/>
      <c r="CN19" s="40"/>
      <c r="CO19" s="80"/>
      <c r="CP19" s="40"/>
    </row>
    <row r="20" s="58" customFormat="true" ht="11.25" hidden="false" customHeight="true" outlineLevel="0" collapsed="false">
      <c r="A20" s="40" t="s">
        <v>140</v>
      </c>
      <c r="B20" s="40" t="s">
        <v>108</v>
      </c>
      <c r="C20" s="78" t="s">
        <v>249</v>
      </c>
      <c r="D20" s="57"/>
      <c r="E20" s="57" t="n">
        <v>45670</v>
      </c>
      <c r="F20" s="57" t="n">
        <v>45670</v>
      </c>
      <c r="G20" s="40" t="s">
        <v>318</v>
      </c>
      <c r="H20" s="41" t="s">
        <v>141</v>
      </c>
      <c r="I20" s="41" t="s">
        <v>113</v>
      </c>
      <c r="J20" s="41" t="s">
        <v>113</v>
      </c>
      <c r="K20" s="78" t="s">
        <v>423</v>
      </c>
      <c r="L20" s="78" t="s">
        <v>424</v>
      </c>
      <c r="M20" s="40" t="s">
        <v>144</v>
      </c>
      <c r="N20" s="78" t="s">
        <v>425</v>
      </c>
      <c r="O20" s="78" t="s">
        <v>426</v>
      </c>
      <c r="P20" s="78" t="s">
        <v>427</v>
      </c>
      <c r="Q20" s="57" t="n">
        <v>21901</v>
      </c>
      <c r="V20" s="58" t="s">
        <v>323</v>
      </c>
      <c r="W20" s="57" t="n">
        <v>45670</v>
      </c>
      <c r="X20" s="82" t="n">
        <v>0.677083333333333</v>
      </c>
      <c r="Y20" s="78" t="s">
        <v>428</v>
      </c>
      <c r="Z20" s="57" t="n">
        <v>45670</v>
      </c>
      <c r="AA20" s="58" t="s">
        <v>429</v>
      </c>
      <c r="AB20" s="58" t="s">
        <v>350</v>
      </c>
      <c r="AC20" s="56" t="n">
        <v>45671</v>
      </c>
      <c r="AD20" s="87" t="n">
        <v>0.527777777777778</v>
      </c>
      <c r="AE20" s="42" t="s">
        <v>327</v>
      </c>
      <c r="AF20" s="42" t="s">
        <v>128</v>
      </c>
      <c r="AG20" s="58" t="s">
        <v>125</v>
      </c>
      <c r="AH20" s="58" t="s">
        <v>126</v>
      </c>
      <c r="AI20" s="83" t="s">
        <v>123</v>
      </c>
      <c r="AJ20" s="58" t="s">
        <v>124</v>
      </c>
      <c r="AK20" s="89" t="n">
        <v>2</v>
      </c>
      <c r="AL20" s="58" t="s">
        <v>158</v>
      </c>
      <c r="AM20" s="90" t="n">
        <v>45670</v>
      </c>
      <c r="AN20" s="90" t="n">
        <v>45671</v>
      </c>
      <c r="AO20" s="40" t="s">
        <v>186</v>
      </c>
      <c r="AP20" s="58" t="s">
        <v>430</v>
      </c>
      <c r="AQ20" s="58" t="s">
        <v>161</v>
      </c>
      <c r="AR20" s="90"/>
      <c r="AS20" s="90"/>
      <c r="AU20" s="78"/>
      <c r="AV20" s="78" t="s">
        <v>351</v>
      </c>
      <c r="AW20" s="90" t="n">
        <v>45671</v>
      </c>
      <c r="AX20" s="90" t="n">
        <v>45672</v>
      </c>
      <c r="AY20" s="58" t="s">
        <v>186</v>
      </c>
      <c r="AZ20" s="58" t="s">
        <v>431</v>
      </c>
      <c r="BA20" s="40" t="s">
        <v>248</v>
      </c>
      <c r="BB20" s="40" t="s">
        <v>164</v>
      </c>
      <c r="BC20" s="41" t="s">
        <v>248</v>
      </c>
      <c r="BD20" s="43" t="s">
        <v>162</v>
      </c>
      <c r="BE20" s="43" t="n">
        <f aca="false">W20</f>
        <v>45670</v>
      </c>
      <c r="BF20" s="86" t="n">
        <v>1.04166666666667</v>
      </c>
      <c r="BG20" s="40" t="s">
        <v>361</v>
      </c>
      <c r="BH20" s="41" t="s">
        <v>269</v>
      </c>
      <c r="BI20" s="44" t="s">
        <v>135</v>
      </c>
      <c r="BJ20" s="44" t="s">
        <v>163</v>
      </c>
      <c r="BK20" s="44" t="n">
        <f aca="false">AM20</f>
        <v>45670</v>
      </c>
      <c r="BL20" s="82" t="n">
        <v>0.541666666666668</v>
      </c>
      <c r="BM20" s="41" t="s">
        <v>362</v>
      </c>
      <c r="BN20" s="43" t="s">
        <v>163</v>
      </c>
      <c r="BO20" s="41" t="s">
        <v>135</v>
      </c>
      <c r="BP20" s="40" t="s">
        <v>162</v>
      </c>
      <c r="BQ20" s="43" t="n">
        <f aca="false">W20</f>
        <v>45670</v>
      </c>
      <c r="BR20" s="43" t="n">
        <f aca="false">X20</f>
        <v>0.677083333333333</v>
      </c>
      <c r="BS20" s="43" t="s">
        <v>161</v>
      </c>
      <c r="BT20" s="43"/>
      <c r="BU20" s="43"/>
      <c r="BV20" s="43"/>
      <c r="BW20" s="43"/>
      <c r="BX20" s="54"/>
      <c r="BY20" s="40"/>
      <c r="CA20" s="90"/>
      <c r="CB20" s="90"/>
      <c r="CE20" s="90"/>
      <c r="CF20" s="90"/>
      <c r="CL20" s="40"/>
      <c r="CM20" s="40"/>
      <c r="CN20" s="40"/>
      <c r="CO20" s="80"/>
      <c r="CP20" s="40"/>
    </row>
    <row r="21" customFormat="false" ht="11.25" hidden="false" customHeight="true" outlineLevel="0" collapsed="false">
      <c r="H21" s="40"/>
      <c r="BC21" s="55"/>
      <c r="BI21" s="5"/>
      <c r="BJ21" s="5"/>
      <c r="BM21" s="55"/>
      <c r="BN21" s="60"/>
      <c r="BO21" s="55"/>
      <c r="BQ21" s="60"/>
      <c r="BR21" s="60"/>
      <c r="BS21" s="60"/>
      <c r="BT21" s="60"/>
      <c r="BU21" s="60"/>
      <c r="BV21" s="60"/>
      <c r="BW21" s="60"/>
      <c r="BX21" s="91"/>
    </row>
    <row r="22" customFormat="false" ht="11.25" hidden="false" customHeight="true" outlineLevel="0" collapsed="false">
      <c r="H22" s="40"/>
      <c r="BC22" s="55"/>
      <c r="BI22" s="5"/>
      <c r="BJ22" s="5"/>
      <c r="BM22" s="55"/>
      <c r="BN22" s="60"/>
      <c r="BO22" s="55"/>
      <c r="BQ22" s="60"/>
      <c r="BR22" s="60"/>
      <c r="BS22" s="60"/>
      <c r="BT22" s="60"/>
      <c r="BU22" s="60"/>
      <c r="BV22" s="60"/>
      <c r="BW22" s="60"/>
      <c r="BX22" s="91"/>
    </row>
    <row r="23" customFormat="false" ht="11.25" hidden="false" customHeight="true" outlineLevel="0" collapsed="false">
      <c r="H23" s="40"/>
      <c r="BC23" s="55"/>
      <c r="BI23" s="5"/>
      <c r="BJ23" s="5"/>
      <c r="BM23" s="55"/>
      <c r="BN23" s="60"/>
      <c r="BO23" s="55"/>
      <c r="BQ23" s="60"/>
      <c r="BR23" s="60"/>
      <c r="BS23" s="60"/>
      <c r="BT23" s="60"/>
      <c r="BU23" s="60"/>
      <c r="BV23" s="60"/>
      <c r="BW23" s="60"/>
      <c r="BX23" s="91"/>
    </row>
    <row r="24" customFormat="false" ht="11.25" hidden="false" customHeight="true" outlineLevel="0" collapsed="false">
      <c r="H24" s="40"/>
      <c r="BC24" s="55"/>
      <c r="BI24" s="5"/>
      <c r="BJ24" s="5"/>
      <c r="BM24" s="55"/>
      <c r="BN24" s="60"/>
      <c r="BO24" s="55"/>
      <c r="BQ24" s="60"/>
      <c r="BR24" s="60"/>
      <c r="BS24" s="60"/>
      <c r="BT24" s="60"/>
      <c r="BU24" s="60"/>
      <c r="BV24" s="60"/>
      <c r="BW24" s="60"/>
      <c r="BX24" s="91"/>
    </row>
    <row r="25" customFormat="false" ht="11.25" hidden="false" customHeight="true" outlineLevel="0" collapsed="false">
      <c r="H25" s="40"/>
      <c r="BC25" s="55"/>
      <c r="BI25" s="5"/>
      <c r="BJ25" s="5"/>
      <c r="BM25" s="55"/>
      <c r="BN25" s="60"/>
      <c r="BO25" s="55"/>
      <c r="BQ25" s="60"/>
      <c r="BR25" s="60"/>
      <c r="BS25" s="60"/>
      <c r="BT25" s="60"/>
      <c r="BU25" s="60"/>
      <c r="BV25" s="60"/>
      <c r="BW25" s="60"/>
      <c r="BX25" s="91"/>
    </row>
    <row r="26" customFormat="false" ht="11.25" hidden="false" customHeight="true" outlineLevel="0" collapsed="false">
      <c r="H26" s="40"/>
      <c r="BC26" s="55"/>
      <c r="BI26" s="5"/>
      <c r="BJ26" s="5"/>
      <c r="BM26" s="55"/>
      <c r="BN26" s="60"/>
      <c r="BO26" s="55"/>
      <c r="BQ26" s="60"/>
      <c r="BR26" s="60"/>
      <c r="BS26" s="60"/>
      <c r="BT26" s="60"/>
      <c r="BU26" s="60"/>
      <c r="BV26" s="60"/>
      <c r="BW26" s="60"/>
      <c r="BX26" s="91"/>
    </row>
    <row r="27" customFormat="false" ht="11.25" hidden="false" customHeight="true" outlineLevel="0" collapsed="false">
      <c r="H27" s="40"/>
      <c r="BC27" s="55"/>
      <c r="BI27" s="5"/>
      <c r="BJ27" s="5"/>
      <c r="BM27" s="55"/>
      <c r="BN27" s="60"/>
      <c r="BO27" s="55"/>
      <c r="BQ27" s="60"/>
      <c r="BR27" s="60"/>
      <c r="BS27" s="60"/>
      <c r="BT27" s="60"/>
      <c r="BU27" s="60"/>
      <c r="BV27" s="60"/>
      <c r="BW27" s="60"/>
      <c r="BX27" s="91"/>
    </row>
    <row r="28" customFormat="false" ht="11.25" hidden="false" customHeight="true" outlineLevel="0" collapsed="false">
      <c r="H28" s="40"/>
      <c r="BC28" s="55"/>
      <c r="BI28" s="5"/>
      <c r="BJ28" s="5"/>
      <c r="BM28" s="55"/>
      <c r="BN28" s="60"/>
      <c r="BO28" s="55"/>
      <c r="BQ28" s="60"/>
      <c r="BR28" s="60"/>
      <c r="BS28" s="60"/>
      <c r="BT28" s="60"/>
      <c r="BU28" s="60"/>
      <c r="BV28" s="60"/>
      <c r="BW28" s="60"/>
      <c r="BX28" s="91"/>
    </row>
    <row r="29" customFormat="false" ht="11.25" hidden="false" customHeight="true" outlineLevel="0" collapsed="false">
      <c r="H29" s="40"/>
      <c r="BC29" s="55"/>
      <c r="BI29" s="5"/>
      <c r="BJ29" s="5"/>
      <c r="BM29" s="55"/>
      <c r="BN29" s="60"/>
      <c r="BO29" s="55"/>
      <c r="BQ29" s="60"/>
      <c r="BR29" s="60"/>
      <c r="BS29" s="60"/>
      <c r="BT29" s="60"/>
      <c r="BU29" s="60"/>
      <c r="BV29" s="60"/>
      <c r="BW29" s="60"/>
      <c r="BX29" s="91"/>
    </row>
    <row r="30" customFormat="false" ht="11.25" hidden="false" customHeight="true" outlineLevel="0" collapsed="false">
      <c r="H30" s="40"/>
      <c r="BC30" s="55"/>
      <c r="BI30" s="5"/>
      <c r="BJ30" s="5"/>
      <c r="BM30" s="55"/>
      <c r="BN30" s="60"/>
      <c r="BO30" s="55"/>
      <c r="BQ30" s="60"/>
      <c r="BR30" s="60"/>
      <c r="BS30" s="60"/>
      <c r="BT30" s="60"/>
      <c r="BU30" s="60"/>
      <c r="BV30" s="60"/>
      <c r="BW30" s="60"/>
      <c r="BX30" s="91"/>
    </row>
    <row r="31" customFormat="false" ht="11.25" hidden="false" customHeight="true" outlineLevel="0" collapsed="false">
      <c r="H31" s="40"/>
      <c r="BC31" s="55"/>
      <c r="BI31" s="5"/>
      <c r="BJ31" s="5"/>
    </row>
    <row r="32" customFormat="false" ht="11.25" hidden="false" customHeight="true" outlineLevel="0" collapsed="false">
      <c r="H32" s="40"/>
      <c r="BC32" s="55"/>
      <c r="BI32" s="5"/>
      <c r="BJ32" s="5"/>
    </row>
    <row r="33" customFormat="false" ht="11.25" hidden="false" customHeight="true" outlineLevel="0" collapsed="false">
      <c r="H33" s="40"/>
      <c r="BC33" s="55"/>
      <c r="BI33" s="5"/>
      <c r="BJ33" s="5"/>
      <c r="BM33" s="55"/>
      <c r="BN33" s="60"/>
      <c r="BO33" s="55"/>
      <c r="BQ33" s="60"/>
      <c r="BR33" s="60"/>
      <c r="BS33" s="60"/>
      <c r="BT33" s="60"/>
      <c r="BU33" s="60"/>
      <c r="BV33" s="60"/>
      <c r="BW33" s="60"/>
      <c r="BX33" s="91"/>
    </row>
    <row r="34" customFormat="false" ht="11.25" hidden="false" customHeight="true" outlineLevel="0" collapsed="false">
      <c r="H34" s="40"/>
      <c r="BC34" s="55"/>
      <c r="BI34" s="5"/>
      <c r="BJ34" s="5"/>
      <c r="BM34" s="55"/>
      <c r="BN34" s="60"/>
      <c r="BO34" s="55"/>
      <c r="BQ34" s="60"/>
      <c r="BR34" s="60"/>
      <c r="BS34" s="60"/>
      <c r="BT34" s="60"/>
      <c r="BU34" s="60"/>
      <c r="BV34" s="60"/>
      <c r="BW34" s="60"/>
      <c r="BX34" s="91"/>
    </row>
    <row r="35" customFormat="false" ht="11.25" hidden="false" customHeight="true" outlineLevel="0" collapsed="false">
      <c r="H35" s="40"/>
      <c r="BC35" s="55"/>
      <c r="BI35" s="5"/>
      <c r="BJ35" s="5"/>
      <c r="BM35" s="55"/>
      <c r="BN35" s="60"/>
      <c r="BO35" s="55"/>
      <c r="BQ35" s="60"/>
      <c r="BR35" s="60"/>
      <c r="BS35" s="60"/>
      <c r="BT35" s="60"/>
      <c r="BU35" s="60"/>
      <c r="BV35" s="60"/>
      <c r="BW35" s="60"/>
      <c r="BX35" s="91"/>
    </row>
    <row r="36" customFormat="false" ht="11.25" hidden="false" customHeight="true" outlineLevel="0" collapsed="false">
      <c r="H36" s="40"/>
      <c r="BC36" s="55"/>
      <c r="BI36" s="5"/>
      <c r="BJ36" s="5"/>
      <c r="BM36" s="55"/>
      <c r="BN36" s="60"/>
      <c r="BO36" s="55"/>
      <c r="BQ36" s="60"/>
      <c r="BR36" s="60"/>
      <c r="BS36" s="60"/>
      <c r="BT36" s="60"/>
      <c r="BU36" s="60"/>
      <c r="BV36" s="60"/>
      <c r="BW36" s="60"/>
      <c r="BX36" s="91"/>
    </row>
    <row r="37" customFormat="false" ht="11.25" hidden="false" customHeight="true" outlineLevel="0" collapsed="false">
      <c r="H37" s="40"/>
      <c r="BC37" s="55"/>
      <c r="BI37" s="5"/>
      <c r="BJ37" s="5"/>
      <c r="BM37" s="55"/>
      <c r="BN37" s="60"/>
      <c r="BO37" s="55"/>
      <c r="BQ37" s="60"/>
      <c r="BR37" s="60"/>
      <c r="BS37" s="60"/>
      <c r="BT37" s="60"/>
      <c r="BU37" s="60"/>
      <c r="BV37" s="60"/>
      <c r="BW37" s="60"/>
      <c r="BX37" s="91"/>
    </row>
    <row r="38" customFormat="false" ht="11.25" hidden="false" customHeight="true" outlineLevel="0" collapsed="false">
      <c r="H38" s="40"/>
      <c r="BC38" s="55"/>
      <c r="BI38" s="5"/>
      <c r="BJ38" s="5"/>
      <c r="BM38" s="55"/>
      <c r="BN38" s="60"/>
      <c r="BO38" s="55"/>
      <c r="BQ38" s="60"/>
      <c r="BR38" s="60"/>
      <c r="BS38" s="60"/>
      <c r="BT38" s="60"/>
      <c r="BU38" s="60"/>
      <c r="BV38" s="60"/>
      <c r="BW38" s="60"/>
      <c r="BX38" s="91"/>
    </row>
    <row r="39" customFormat="false" ht="11.25" hidden="false" customHeight="true" outlineLevel="0" collapsed="false">
      <c r="H39" s="40"/>
      <c r="BC39" s="55"/>
      <c r="BI39" s="5"/>
      <c r="BJ39" s="5"/>
      <c r="BM39" s="55"/>
      <c r="BN39" s="60"/>
      <c r="BO39" s="55"/>
      <c r="BQ39" s="60"/>
      <c r="BR39" s="60"/>
      <c r="BS39" s="60"/>
      <c r="BT39" s="60"/>
      <c r="BU39" s="60"/>
      <c r="BV39" s="60"/>
      <c r="BW39" s="60"/>
      <c r="BX39" s="91"/>
    </row>
    <row r="40" customFormat="false" ht="11.25" hidden="false" customHeight="true" outlineLevel="0" collapsed="false">
      <c r="H40" s="40"/>
      <c r="BC40" s="55"/>
      <c r="BI40" s="5"/>
      <c r="BJ40" s="5"/>
      <c r="BM40" s="55"/>
      <c r="BN40" s="60"/>
      <c r="BO40" s="55"/>
      <c r="BQ40" s="60"/>
      <c r="BR40" s="60"/>
      <c r="BS40" s="60"/>
      <c r="BT40" s="60"/>
      <c r="BU40" s="60"/>
      <c r="BV40" s="60"/>
      <c r="BW40" s="60"/>
      <c r="BX40" s="91"/>
    </row>
    <row r="41" customFormat="false" ht="11.25" hidden="false" customHeight="true" outlineLevel="0" collapsed="false">
      <c r="H41" s="40"/>
      <c r="BC41" s="55"/>
      <c r="BI41" s="5"/>
      <c r="BJ41" s="5"/>
      <c r="BM41" s="55"/>
      <c r="BN41" s="60"/>
      <c r="BO41" s="55"/>
      <c r="BQ41" s="60"/>
      <c r="BR41" s="60"/>
      <c r="BS41" s="60"/>
      <c r="BT41" s="60"/>
      <c r="BU41" s="60"/>
      <c r="BV41" s="60"/>
      <c r="BW41" s="60"/>
      <c r="BX41" s="91"/>
    </row>
    <row r="42" customFormat="false" ht="11.25" hidden="false" customHeight="true" outlineLevel="0" collapsed="false">
      <c r="H42" s="40"/>
      <c r="BC42" s="55"/>
      <c r="BI42" s="5"/>
      <c r="BJ42" s="5"/>
      <c r="BM42" s="55"/>
      <c r="BN42" s="60"/>
      <c r="BO42" s="55"/>
      <c r="BQ42" s="60"/>
      <c r="BR42" s="60"/>
      <c r="BS42" s="60"/>
      <c r="BT42" s="60"/>
      <c r="BU42" s="60"/>
      <c r="BV42" s="60"/>
      <c r="BW42" s="60"/>
      <c r="BX42" s="91"/>
    </row>
    <row r="43" customFormat="false" ht="11.25" hidden="false" customHeight="true" outlineLevel="0" collapsed="false">
      <c r="H43" s="40"/>
      <c r="BC43" s="55"/>
      <c r="BI43" s="5"/>
      <c r="BJ43" s="5"/>
      <c r="BM43" s="55"/>
      <c r="BN43" s="60"/>
      <c r="BO43" s="55"/>
      <c r="BQ43" s="60"/>
      <c r="BR43" s="60"/>
      <c r="BS43" s="60"/>
      <c r="BT43" s="60"/>
      <c r="BU43" s="60"/>
      <c r="BV43" s="60"/>
      <c r="BW43" s="60"/>
      <c r="BX43" s="91"/>
    </row>
    <row r="44" customFormat="false" ht="11.25" hidden="false" customHeight="true" outlineLevel="0" collapsed="false">
      <c r="H44" s="40"/>
      <c r="BC44" s="55"/>
      <c r="BI44" s="5"/>
      <c r="BJ44" s="5"/>
      <c r="BM44" s="55"/>
      <c r="BN44" s="60"/>
      <c r="BO44" s="55"/>
      <c r="BQ44" s="60"/>
      <c r="BR44" s="60"/>
      <c r="BS44" s="60"/>
      <c r="BT44" s="60"/>
      <c r="BU44" s="60"/>
      <c r="BV44" s="60"/>
      <c r="BW44" s="60"/>
      <c r="BX44" s="91"/>
    </row>
    <row r="45" customFormat="false" ht="11.25" hidden="false" customHeight="true" outlineLevel="0" collapsed="false">
      <c r="H45" s="40"/>
      <c r="BC45" s="55"/>
      <c r="BI45" s="5"/>
      <c r="BJ45" s="5"/>
      <c r="BM45" s="55"/>
      <c r="BN45" s="60"/>
      <c r="BO45" s="55"/>
      <c r="BQ45" s="60"/>
      <c r="BR45" s="60"/>
      <c r="BS45" s="60"/>
      <c r="BT45" s="60"/>
      <c r="BU45" s="60"/>
      <c r="BV45" s="60"/>
      <c r="BW45" s="60"/>
      <c r="BX45" s="91"/>
    </row>
    <row r="46" customFormat="false" ht="11.25" hidden="false" customHeight="true" outlineLevel="0" collapsed="false">
      <c r="H46" s="40"/>
      <c r="BC46" s="55"/>
      <c r="BI46" s="5"/>
      <c r="BJ46" s="5"/>
      <c r="BM46" s="55"/>
      <c r="BN46" s="60"/>
      <c r="BO46" s="55"/>
      <c r="BQ46" s="60"/>
      <c r="BR46" s="60"/>
      <c r="BS46" s="60"/>
      <c r="BT46" s="60"/>
      <c r="BU46" s="60"/>
      <c r="BV46" s="60"/>
      <c r="BW46" s="60"/>
      <c r="BX46" s="91"/>
    </row>
    <row r="47" customFormat="false" ht="11.25" hidden="false" customHeight="true" outlineLevel="0" collapsed="false">
      <c r="H47" s="40"/>
      <c r="BC47" s="55"/>
      <c r="BI47" s="5"/>
      <c r="BJ47" s="5"/>
      <c r="BM47" s="55"/>
      <c r="BN47" s="60"/>
      <c r="BO47" s="55"/>
      <c r="BQ47" s="60"/>
      <c r="BR47" s="60"/>
      <c r="BS47" s="60"/>
      <c r="BT47" s="60"/>
      <c r="BU47" s="60"/>
      <c r="BV47" s="60"/>
      <c r="BW47" s="60"/>
      <c r="BX47" s="91"/>
    </row>
    <row r="48" customFormat="false" ht="11.25" hidden="false" customHeight="true" outlineLevel="0" collapsed="false">
      <c r="H48" s="40"/>
      <c r="BC48" s="55"/>
      <c r="BI48" s="5"/>
      <c r="BJ48" s="5"/>
      <c r="BM48" s="55"/>
      <c r="BN48" s="60"/>
      <c r="BO48" s="55"/>
      <c r="BQ48" s="60"/>
      <c r="BR48" s="60"/>
      <c r="BS48" s="60"/>
      <c r="BT48" s="60"/>
      <c r="BU48" s="60"/>
      <c r="BV48" s="60"/>
      <c r="BW48" s="60"/>
      <c r="BX48" s="91"/>
    </row>
    <row r="49" customFormat="false" ht="11.25" hidden="false" customHeight="true" outlineLevel="0" collapsed="false">
      <c r="H49" s="40"/>
      <c r="BC49" s="55"/>
      <c r="BI49" s="5"/>
      <c r="BJ49" s="5"/>
      <c r="BM49" s="55"/>
      <c r="BN49" s="60"/>
      <c r="BO49" s="55"/>
      <c r="BQ49" s="60"/>
      <c r="BR49" s="60"/>
      <c r="BS49" s="60"/>
      <c r="BT49" s="60"/>
      <c r="BU49" s="60"/>
      <c r="BV49" s="60"/>
      <c r="BW49" s="60"/>
      <c r="BX49" s="91"/>
    </row>
    <row r="50" customFormat="false" ht="11.25" hidden="false" customHeight="true" outlineLevel="0" collapsed="false">
      <c r="H50" s="40"/>
      <c r="BC50" s="55"/>
      <c r="BI50" s="5"/>
      <c r="BJ50" s="5"/>
      <c r="BM50" s="55"/>
      <c r="BN50" s="60"/>
      <c r="BO50" s="55"/>
      <c r="BQ50" s="60"/>
      <c r="BR50" s="60"/>
      <c r="BS50" s="60"/>
      <c r="BT50" s="60"/>
      <c r="BU50" s="60"/>
      <c r="BV50" s="60"/>
      <c r="BW50" s="60"/>
      <c r="BX50" s="91"/>
    </row>
    <row r="51" customFormat="false" ht="11.25" hidden="false" customHeight="true" outlineLevel="0" collapsed="false">
      <c r="H51" s="40"/>
      <c r="BC51" s="55"/>
      <c r="BI51" s="5"/>
      <c r="BJ51" s="5"/>
      <c r="BM51" s="55"/>
      <c r="BN51" s="60"/>
      <c r="BO51" s="55"/>
      <c r="BQ51" s="60"/>
      <c r="BR51" s="60"/>
      <c r="BS51" s="60"/>
      <c r="BT51" s="60"/>
      <c r="BU51" s="60"/>
      <c r="BV51" s="60"/>
      <c r="BW51" s="60"/>
      <c r="BX51" s="91"/>
    </row>
    <row r="52" customFormat="false" ht="11.25" hidden="false" customHeight="true" outlineLevel="0" collapsed="false">
      <c r="H52" s="40"/>
      <c r="BC52" s="55"/>
      <c r="BI52" s="5"/>
      <c r="BJ52" s="5"/>
      <c r="BM52" s="55"/>
      <c r="BN52" s="60"/>
      <c r="BO52" s="55"/>
      <c r="BQ52" s="60"/>
      <c r="BR52" s="60"/>
      <c r="BS52" s="60"/>
      <c r="BT52" s="60"/>
      <c r="BU52" s="60"/>
      <c r="BV52" s="60"/>
      <c r="BW52" s="60"/>
      <c r="BX52" s="91"/>
    </row>
    <row r="53" customFormat="false" ht="11.25" hidden="false" customHeight="true" outlineLevel="0" collapsed="false">
      <c r="H53" s="40"/>
      <c r="BC53" s="55"/>
      <c r="BI53" s="5"/>
      <c r="BJ53" s="5"/>
    </row>
    <row r="54" customFormat="false" ht="11.25" hidden="false" customHeight="true" outlineLevel="0" collapsed="false">
      <c r="H54" s="40"/>
      <c r="BC54" s="55"/>
      <c r="BI54" s="5"/>
      <c r="BJ54" s="5"/>
    </row>
    <row r="55" customFormat="false" ht="11.25" hidden="false" customHeight="true" outlineLevel="0" collapsed="false">
      <c r="H55" s="40"/>
      <c r="BC55" s="55"/>
      <c r="BI55" s="5"/>
      <c r="BJ55" s="5"/>
    </row>
    <row r="56" customFormat="false" ht="11.25" hidden="false" customHeight="true" outlineLevel="0" collapsed="false">
      <c r="H56" s="40"/>
      <c r="BC56" s="55"/>
      <c r="BI56" s="5"/>
      <c r="BJ56" s="5"/>
    </row>
    <row r="57" customFormat="false" ht="11.25" hidden="false" customHeight="true" outlineLevel="0" collapsed="false">
      <c r="H57" s="40"/>
      <c r="BC57" s="55"/>
      <c r="BI57" s="5"/>
      <c r="BJ57" s="5"/>
    </row>
    <row r="58" customFormat="false" ht="11.25" hidden="false" customHeight="true" outlineLevel="0" collapsed="false">
      <c r="H58" s="40"/>
      <c r="BC58" s="55"/>
      <c r="BI58" s="5"/>
      <c r="BJ58" s="5"/>
    </row>
    <row r="59" customFormat="false" ht="11.25" hidden="false" customHeight="true" outlineLevel="0" collapsed="false">
      <c r="H59" s="40"/>
      <c r="BC59" s="55"/>
      <c r="BI59" s="5"/>
      <c r="BJ59" s="5"/>
    </row>
    <row r="60" customFormat="false" ht="11.25" hidden="false" customHeight="true" outlineLevel="0" collapsed="false">
      <c r="H60" s="40"/>
      <c r="BC60" s="55"/>
      <c r="BI60" s="5"/>
      <c r="BJ60" s="5"/>
    </row>
    <row r="61" customFormat="false" ht="11.25" hidden="false" customHeight="true" outlineLevel="0" collapsed="false">
      <c r="H61" s="40"/>
      <c r="BC61" s="55"/>
      <c r="BI61" s="5"/>
      <c r="BJ61" s="5"/>
    </row>
    <row r="62" customFormat="false" ht="11.25" hidden="false" customHeight="true" outlineLevel="0" collapsed="false">
      <c r="H62" s="40"/>
      <c r="BC62" s="55"/>
      <c r="BI62" s="5"/>
      <c r="BJ62" s="5"/>
      <c r="BM62" s="55"/>
      <c r="BN62" s="60"/>
      <c r="BO62" s="55"/>
      <c r="BQ62" s="60"/>
      <c r="BR62" s="60"/>
      <c r="BS62" s="60"/>
      <c r="BT62" s="60"/>
      <c r="BU62" s="60"/>
      <c r="BV62" s="60"/>
      <c r="BW62" s="60"/>
      <c r="BX62" s="91"/>
    </row>
    <row r="63" customFormat="false" ht="11.25" hidden="false" customHeight="true" outlineLevel="0" collapsed="false">
      <c r="H63" s="40"/>
      <c r="BC63" s="55"/>
      <c r="BI63" s="5"/>
      <c r="BJ63" s="5"/>
      <c r="BM63" s="55"/>
      <c r="BN63" s="60"/>
      <c r="BO63" s="55"/>
      <c r="BQ63" s="60"/>
      <c r="BR63" s="60"/>
      <c r="BS63" s="60"/>
      <c r="BT63" s="60"/>
      <c r="BU63" s="60"/>
      <c r="BV63" s="60"/>
      <c r="BW63" s="60"/>
      <c r="BX63" s="91"/>
    </row>
    <row r="64" customFormat="false" ht="11.25" hidden="false" customHeight="true" outlineLevel="0" collapsed="false">
      <c r="H64" s="40"/>
      <c r="BC64" s="55"/>
      <c r="BI64" s="5"/>
      <c r="BJ64" s="5"/>
    </row>
    <row r="65" customFormat="false" ht="11.25" hidden="false" customHeight="true" outlineLevel="0" collapsed="false">
      <c r="H65" s="40"/>
      <c r="BC65" s="55"/>
      <c r="BI65" s="5"/>
      <c r="BJ65" s="5"/>
    </row>
    <row r="66" customFormat="false" ht="11.25" hidden="false" customHeight="true" outlineLevel="0" collapsed="false">
      <c r="H66" s="40"/>
      <c r="BC66" s="55"/>
      <c r="BI66" s="5"/>
      <c r="BJ66" s="5"/>
    </row>
    <row r="67" customFormat="false" ht="11.25" hidden="false" customHeight="true" outlineLevel="0" collapsed="false">
      <c r="H67" s="40"/>
      <c r="BC67" s="55"/>
      <c r="BI67" s="5"/>
      <c r="BJ67" s="5"/>
    </row>
    <row r="68" customFormat="false" ht="11.25" hidden="false" customHeight="true" outlineLevel="0" collapsed="false">
      <c r="H68" s="40"/>
      <c r="BC68" s="55"/>
      <c r="BI68" s="5"/>
      <c r="BJ68" s="5"/>
    </row>
    <row r="69" customFormat="false" ht="11.25" hidden="false" customHeight="true" outlineLevel="0" collapsed="false">
      <c r="H69" s="40"/>
      <c r="AH69" s="2"/>
      <c r="AI69" s="92"/>
      <c r="AJ69" s="66"/>
      <c r="BC69" s="55"/>
      <c r="BI69" s="5"/>
      <c r="BJ69" s="5"/>
    </row>
    <row r="70" customFormat="false" ht="11.25" hidden="false" customHeight="true" outlineLevel="0" collapsed="false">
      <c r="H70" s="40"/>
      <c r="BC70" s="55"/>
      <c r="BI70" s="5"/>
      <c r="BJ70" s="5"/>
    </row>
    <row r="71" customFormat="false" ht="11.25" hidden="false" customHeight="true" outlineLevel="0" collapsed="false">
      <c r="H71" s="40"/>
      <c r="BC71" s="55"/>
      <c r="BI71" s="5"/>
      <c r="BJ71" s="5"/>
    </row>
    <row r="72" customFormat="false" ht="11.25" hidden="false" customHeight="true" outlineLevel="0" collapsed="false">
      <c r="H72" s="40"/>
      <c r="BC72" s="55"/>
      <c r="BI72" s="5"/>
      <c r="BJ72" s="5"/>
    </row>
    <row r="73" customFormat="false" ht="11.25" hidden="false" customHeight="true" outlineLevel="0" collapsed="false">
      <c r="H73" s="40"/>
      <c r="BC73" s="55"/>
      <c r="BI73" s="5"/>
      <c r="BJ73" s="5"/>
    </row>
    <row r="74" customFormat="false" ht="11.25" hidden="false" customHeight="true" outlineLevel="0" collapsed="false">
      <c r="H74" s="40"/>
      <c r="BC74" s="55"/>
      <c r="BI74" s="5"/>
      <c r="BJ74" s="5"/>
    </row>
    <row r="75" customFormat="false" ht="11.25" hidden="false" customHeight="true" outlineLevel="0" collapsed="false">
      <c r="H75" s="40"/>
      <c r="BC75" s="55"/>
      <c r="BI75" s="5"/>
      <c r="BJ75" s="5"/>
    </row>
    <row r="76" customFormat="false" ht="11.25" hidden="false" customHeight="true" outlineLevel="0" collapsed="false">
      <c r="H76" s="40"/>
      <c r="BC76" s="55"/>
      <c r="BI76" s="5"/>
      <c r="BJ76" s="5"/>
    </row>
    <row r="77" customFormat="false" ht="11.25" hidden="false" customHeight="true" outlineLevel="0" collapsed="false">
      <c r="H77" s="40"/>
      <c r="BC77" s="55"/>
      <c r="BI77" s="5"/>
      <c r="BJ77" s="5"/>
    </row>
    <row r="78" customFormat="false" ht="11.25" hidden="false" customHeight="true" outlineLevel="0" collapsed="false">
      <c r="H78" s="40"/>
      <c r="BC78" s="55"/>
      <c r="BI78" s="5"/>
      <c r="BJ78" s="5"/>
    </row>
    <row r="79" customFormat="false" ht="11.25" hidden="false" customHeight="true" outlineLevel="0" collapsed="false">
      <c r="H79" s="40"/>
      <c r="BC79" s="55"/>
      <c r="BI79" s="5"/>
      <c r="BJ79" s="5"/>
    </row>
    <row r="80" customFormat="false" ht="11.25" hidden="false" customHeight="true" outlineLevel="0" collapsed="false">
      <c r="H80" s="40"/>
      <c r="BC80" s="55"/>
      <c r="BI80" s="5"/>
      <c r="BJ80" s="5"/>
    </row>
    <row r="81" customFormat="false" ht="11.25" hidden="false" customHeight="true" outlineLevel="0" collapsed="false">
      <c r="H81" s="40"/>
      <c r="BC81" s="55"/>
      <c r="BI81" s="5"/>
      <c r="BJ81" s="5"/>
    </row>
    <row r="82" customFormat="false" ht="11.25" hidden="false" customHeight="true" outlineLevel="0" collapsed="false">
      <c r="H82" s="40"/>
      <c r="BC82" s="55"/>
      <c r="BI82" s="5"/>
      <c r="BJ82" s="5"/>
    </row>
    <row r="83" customFormat="false" ht="11.25" hidden="false" customHeight="true" outlineLevel="0" collapsed="false">
      <c r="H83" s="40"/>
      <c r="BC83" s="55"/>
      <c r="BI83" s="5"/>
      <c r="BJ83" s="5"/>
    </row>
    <row r="84" customFormat="false" ht="11.25" hidden="false" customHeight="true" outlineLevel="0" collapsed="false">
      <c r="H84" s="40"/>
      <c r="BC84" s="55"/>
      <c r="BI84" s="5"/>
      <c r="BJ84" s="5"/>
    </row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CQ20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8084</TotalTime>
  <Application>LibreOffice/7.3.7.2$Linux_X86_64 LibreOffice_project/30$Build-2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2024-10-08T01:43:15Z</dcterms:created>
  <dc:creator>MI PC</dc:creator>
  <dc:description/>
  <dc:language>es-CL</dc:language>
  <cp:lastModifiedBy/>
  <dcterms:modified xsi:type="dcterms:W3CDTF">2025-05-15T01:13:07Z</dcterms:modified>
  <cp:revision>163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